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de769340a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汇总" sheetId="1" r:id="R0dde85e920454ca2"/>
    <x:sheet xmlns:r="http://schemas.openxmlformats.org/officeDocument/2006/relationships" name="位号明细" sheetId="2" r:id="R414f751e7109486e"/>
    <x:sheet xmlns:r="http://schemas.openxmlformats.org/officeDocument/2006/relationships" name="配套与不采购" sheetId="3" r:id="Re5fd69cfca6f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000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4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01c517f344e01" /><Relationship Type="http://schemas.openxmlformats.org/officeDocument/2006/relationships/theme" Target="/xl/theme/theme1.xml" Id="R7d98c9bc2bf943a3" /><Relationship Type="http://schemas.openxmlformats.org/officeDocument/2006/relationships/sharedStrings" Target="/xl/sharedStrings.xml" Id="R5e49ac2151f24546" /><Relationship Type="http://schemas.openxmlformats.org/officeDocument/2006/relationships/worksheet" Target="/xl/worksheets/sheet1.xml" Id="R0dde85e920454ca2" /><Relationship Type="http://schemas.openxmlformats.org/officeDocument/2006/relationships/worksheet" Target="/xl/worksheets/sheet2.xml" Id="R414f751e7109486e" /><Relationship Type="http://schemas.openxmlformats.org/officeDocument/2006/relationships/worksheet" Target="/xl/worksheets/sheet3.xml" Id="Re5fd69cfca6f4601" /></Relationships>
</file>

<file path=xl/tables/table1.xml><?xml version="1.0" encoding="utf-8"?>
<x:table xmlns:x="http://schemas.openxmlformats.org/spreadsheetml/2006/main" id="2" name="Purchase62" displayName="Purchase62" ref="A9:L71" headerRowCount="1" totalsRowCount="0" totalsRowShown="0">
  <x:tableColumns count="12">
    <x:tableColumn id="1" name="序号"/>
    <x:tableColumn id="2" name="类别"/>
    <x:tableColumn id="3" name="厂家"/>
    <x:tableColumn id="4" name="完整MPN"/>
    <x:tableColumn id="5" name="封装"/>
    <x:tableColumn id="6" name="每板用量"/>
    <x:tableColumn id="7" name="计划用量"/>
    <x:tableColumn id="8" name="位号"/>
    <x:tableColumn id="9" name="待核对事项"/>
    <x:tableColumn id="10" name="淘宝搜索词"/>
    <x:tableColumn id="11" name="淘宝搜索链接"/>
    <x:tableColumn id="12" name="参数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nstances142" displayName="Instances142" ref="A6:M148" headerRowCount="1" totalsRowCount="0" totalsRowShown="0">
  <x:tableColumns count="13">
    <x:tableColumn id="1" name="位号"/>
    <x:tableColumn id="2" name="当前参数"/>
    <x:tableColumn id="3" name="厂家"/>
    <x:tableColumn id="4" name="完整MPN"/>
    <x:tableColumn id="5" name="封装"/>
    <x:tableColumn id="6" name="每板数量"/>
    <x:tableColumn id="7" name="面别"/>
    <x:tableColumn id="8" name="原始选型状态"/>
    <x:tableColumn id="9" name="原始验证状态"/>
    <x:tableColumn id="10" name="规格要求"/>
    <x:tableColumn id="11" name="PCB封装标识"/>
    <x:tableColumn id="12" name="淘宝搜索链接"/>
    <x:tableColumn id="13" name="原厂资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ssories8" displayName="Accessories8" ref="A6:F14" headerRowCount="1" totalsRowCount="0" totalsRowShown="0">
  <x:tableColumns count="6">
    <x:tableColumn id="1" name="项目"/>
    <x:tableColumn id="2" name="完整型号或未定项"/>
    <x:tableColumn id="3" name="一板参考量"/>
    <x:tableColumn id="4" name="本次板数用量"/>
    <x:tableColumn id="5" name="采购说明"/>
    <x:tableColumn id="6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e8ad090ec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227d64ce2d45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06ce97fcab4134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6" hidden="0" customWidth="1"/>
    <x:col min="2" max="2" width="13" hidden="0" customWidth="1"/>
    <x:col min="3" max="3" width="19" hidden="0" customWidth="1"/>
    <x:col min="4" max="4" width="29" hidden="0" customWidth="1"/>
    <x:col min="5" max="5" width="36" hidden="0" customWidth="1"/>
    <x:col min="6" max="6" width="10" hidden="0" customWidth="1"/>
    <x:col min="7" max="7" width="11" hidden="0" customWidth="1"/>
    <x:col min="8" max="8" width="46" hidden="0" customWidth="1"/>
    <x:col min="9" max="9" width="34" hidden="0" customWidth="1"/>
    <x:col min="10" max="10" width="48" hidden="0" customWidth="1"/>
    <x:col min="11" max="11" width="55" hidden="0" customWidth="1"/>
    <x:col min="12" max="12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X100 淘宝器件搜索与备料清单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板数</x:v>
      </x:c>
      <x:c r="B4" s="14" t="n">
        <x:v>1</x:v>
      </x:c>
      <x:c r="C4" s="2"/>
      <x:c r="D4" s="2" t="str">
        <x:v>每板件数</x:v>
      </x:c>
      <x:c r="E4" s="2" t="n">
        <x:f>SUM(F10:F71)</x:f>
        <x:v>142</x:v>
      </x:c>
      <x:c r="F4" s="2"/>
      <x:c r="G4" s="2" t="str">
        <x:v>计划件数</x:v>
      </x:c>
      <x:c r="H4" s="2" t="n">
        <x:f>SUM(G10:G71)</x:f>
        <x:v>142</x:v>
      </x:c>
      <x:c r="I4" s="2"/>
      <x:c r="J4" s="2" t="str">
        <x:v>完整型号种数</x:v>
      </x:c>
      <x:c r="K4" s="2" t="n">
        <x:f>COUNTA(D10:D71)</x:f>
        <x:v>62</x:v>
      </x:c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 t="str">
        <x:v>每板142件、62种MPN。改变B4可计算整板用量；未含焊接损耗和备件。搜索链接不是验真商品链接。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2" t="str">
        <x:v>候选字段仍涉及 C121、R105、U105、U106；保留原始状态，不自动视为已采购或重新否定已有人工裁决。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0" customHeight="1">
      <x:c r="A9" s="8" t="str">
        <x:v>序号</x:v>
      </x:c>
      <x:c r="B9" s="8" t="str">
        <x:v>类别</x:v>
      </x:c>
      <x:c r="C9" s="8" t="str">
        <x:v>厂家</x:v>
      </x:c>
      <x:c r="D9" s="8" t="str">
        <x:v>完整MPN</x:v>
      </x:c>
      <x:c r="E9" s="8" t="str">
        <x:v>封装</x:v>
      </x:c>
      <x:c r="F9" s="8" t="str">
        <x:v>每板用量</x:v>
      </x:c>
      <x:c r="G9" s="8" t="str">
        <x:v>计划用量</x:v>
      </x:c>
      <x:c r="H9" s="8" t="str">
        <x:v>位号</x:v>
      </x:c>
      <x:c r="I9" s="8" t="str">
        <x:v>待核对事项</x:v>
      </x:c>
      <x:c r="J9" s="8" t="str">
        <x:v>淘宝搜索词</x:v>
      </x:c>
      <x:c r="K9" s="8" t="str">
        <x:v>淘宝搜索链接</x:v>
      </x:c>
      <x:c r="L9" s="8" t="str">
        <x:v>参数说明</x:v>
      </x:c>
    </x:row>
    <x:row r="10" ht="42" customHeight="1">
      <x:c r="A10" s="9" t="n">
        <x:v>1</x:v>
      </x:c>
      <x:c r="B10" s="9" t="str">
        <x:v>电容</x:v>
      </x:c>
      <x:c r="C10" s="9" t="str">
        <x:v>KEMET</x:v>
      </x:c>
      <x:c r="D10" s="10" t="str">
        <x:v>C1210C106K5RACTU</x:v>
      </x:c>
      <x:c r="E10" s="12" t="str">
        <x:v>1210</x:v>
      </x:c>
      <x:c r="F10" s="11" t="n">
        <x:f>SUMIFS('位号明细'!$F$7:$F$148,'位号明细'!$D$7:$D$148,D10)</x:f>
        <x:v>8</x:v>
      </x:c>
      <x:c r="G10" s="11" t="n">
        <x:f>F10*$B$4</x:f>
        <x:v>8</x:v>
      </x:c>
      <x:c r="H10" s="9" t="str">
        <x:v>C101,C102,C103,C104,C111,C118,C208,C502</x:v>
      </x:c>
      <x:c r="I10" s="9" t="str">
        <x:v>核对完整型号与封装；店铺未验真</x:v>
      </x:c>
      <x:c r="J10" s="9" t="str">
        <x:v>KEMET C1210C106K5RACTU 1210</x:v>
      </x:c>
      <x:c r="K10" s="9" t="str">
        <x:v>https://s.taobao.com/search?q=KEMET%20C1210C106K5RACTU%201210</x:v>
      </x:c>
      <x:c r="L10" s="9" t="str">
        <x:v>10u /50V X7R / 10u AP input / 10u switch input / 10u /50V MCU bulk &gt;=4.7u effective / 10u /50V SD local</x:v>
      </x:c>
    </x:row>
    <x:row r="11" ht="42" customHeight="1">
      <x:c r="A11" s="9" t="n">
        <x:v>2</x:v>
      </x:c>
      <x:c r="B11" s="9" t="str">
        <x:v>电容</x:v>
      </x:c>
      <x:c r="C11" s="9" t="str">
        <x:v>Panasonic</x:v>
      </x:c>
      <x:c r="D11" s="10" t="str">
        <x:v>50SVPF39M</x:v>
      </x:c>
      <x:c r="E11" s="10" t="str">
        <x:v>OS-CON E12 diameter8 height11.9</x:v>
      </x:c>
      <x:c r="F11" s="11" t="n">
        <x:f>SUMIFS('位号明细'!$F$7:$F$148,'位号明细'!$D$7:$D$148,D11)</x:f>
        <x:v>1</x:v>
      </x:c>
      <x:c r="G11" s="11" t="n">
        <x:f>F11*$B$4</x:f>
        <x:v>1</x:v>
      </x:c>
      <x:c r="H11" s="9" t="str">
        <x:v>C105</x:v>
      </x:c>
      <x:c r="I11" s="9" t="str">
        <x:v>核对完整型号与封装；店铺未验真</x:v>
      </x:c>
      <x:c r="J11" s="9" t="str">
        <x:v>Panasonic 50SVPF39M OS-CON E12 diameter8 height11.9</x:v>
      </x:c>
      <x:c r="K11" s="9" t="str">
        <x:v>https://s.taobao.com/search?q=Panasonic%2050SVPF39M%20OS-CON%20E12%20diameter8%20height11.9</x:v>
      </x:c>
      <x:c r="L11" s="9" t="str">
        <x:v>39u /50V +VIN</x:v>
      </x:c>
    </x:row>
    <x:row r="12" ht="68" customHeight="1">
      <x:c r="A12" s="9" t="n">
        <x:v>3</x:v>
      </x:c>
      <x:c r="B12" s="9" t="str">
        <x:v>电容</x:v>
      </x:c>
      <x:c r="C12" s="9" t="str">
        <x:v>KEMET</x:v>
      </x:c>
      <x:c r="D12" s="10" t="str">
        <x:v>C0603C104K5RACTU</x:v>
      </x:c>
      <x:c r="E12" s="12" t="str">
        <x:v>0603</x:v>
      </x:c>
      <x:c r="F12" s="11" t="n">
        <x:f>SUMIFS('位号明细'!$F$7:$F$148,'位号明细'!$D$7:$D$148,D12)</x:f>
        <x:v>19</x:v>
      </x:c>
      <x:c r="G12" s="11" t="n">
        <x:f>F12*$B$4</x:f>
        <x:v>19</x:v>
      </x:c>
      <x:c r="H12" s="9" t="str">
        <x:v>C106,C107,C112,C117,C203,C204,C205,C206,C207,C210,C211,C301,C302,C303,C304,C402,C501,C601,C805</x:v>
      </x:c>
      <x:c r="I12" s="9" t="str">
        <x:v>核对完整型号与封装；店铺未验真</x:v>
      </x:c>
      <x:c r="J12" s="9" t="str">
        <x:v>KEMET C0603C104K5RACTU 0603</x:v>
      </x:c>
      <x:c r="K12" s="9" t="str">
        <x:v>https://s.taobao.com/search?q=KEMET%20C0603C104K5RACTU%200603</x:v>
      </x:c>
      <x:c r="L12" s="9" t="str">
        <x:v>100n /50V 0603 VIN loop / 100n BOOT-SW / 100n BST-SW / 100n switch input loop / 100n local VDD pin11 / 100n local VDD pin27 / 100n local VDD pin50 / 100n local VDD pin75 / 100n local VDD pin100 / 100n VDDA pin21/VREF20 / 100n MCU VBAT pin6 / 100n VDD3 loop / 100n VDDIO11 loop / 100n SPL VDD8 / 100n SPL VDDIO6 / 100n buffer VCC / 100n socket VDD loop / 100n VCC3 loop / 100n U801 VDD14</x:v>
      </x:c>
    </x:row>
    <x:row r="13" ht="42" customHeight="1">
      <x:c r="A13" s="9" t="n">
        <x:v>4</x:v>
      </x:c>
      <x:c r="B13" s="9" t="str">
        <x:v>电容</x:v>
      </x:c>
      <x:c r="C13" s="9" t="str">
        <x:v>Panasonic</x:v>
      </x:c>
      <x:c r="D13" s="10" t="str">
        <x:v>16SVPF180M</x:v>
      </x:c>
      <x:c r="E13" s="10" t="str">
        <x:v>OS-CON C6 diameter6.3 height5.9</x:v>
      </x:c>
      <x:c r="F13" s="11" t="n">
        <x:f>SUMIFS('位号明细'!$F$7:$F$148,'位号明细'!$D$7:$D$148,D13)</x:f>
        <x:v>2</x:v>
      </x:c>
      <x:c r="G13" s="11" t="n">
        <x:f>F13*$B$4</x:f>
        <x:v>2</x:v>
      </x:c>
      <x:c r="H13" s="9" t="str">
        <x:v>C108,C121</x:v>
      </x:c>
      <x:c r="I13" s="9" t="str">
        <x:v>候选字段待核对：C121</x:v>
      </x:c>
      <x:c r="J13" s="9" t="str">
        <x:v>Panasonic 16SVPF180M OS-CON C6 diameter6.3 height5.9</x:v>
      </x:c>
      <x:c r="K13" s="9" t="str">
        <x:v>https://s.taobao.com/search?q=Panasonic%2016SVPF180M%20OS-CON%20C6%20diameter6.3%20height5.9</x:v>
      </x:c>
      <x:c r="L13" s="9" t="str">
        <x:v>180u /16V +5V_MAIN / 180u /16V core mux hold-up (+ pin1)</x:v>
      </x:c>
    </x:row>
    <x:row r="14" ht="42" customHeight="1">
      <x:c r="A14" s="9" t="n">
        <x:v>5</x:v>
      </x:c>
      <x:c r="B14" s="9" t="str">
        <x:v>电容</x:v>
      </x:c>
      <x:c r="C14" s="9" t="str">
        <x:v>KEMET</x:v>
      </x:c>
      <x:c r="D14" s="10" t="str">
        <x:v>C0805C223K5RACTU</x:v>
      </x:c>
      <x:c r="E14" s="12" t="str">
        <x:v>0805</x:v>
      </x:c>
      <x:c r="F14" s="11" t="n">
        <x:f>SUMIFS('位号明细'!$F$7:$F$148,'位号明细'!$D$7:$D$148,D14)</x:f>
        <x:v>3</x:v>
      </x:c>
      <x:c r="G14" s="11" t="n">
        <x:f>F14*$B$4</x:f>
        <x:v>3</x:v>
      </x:c>
      <x:c r="H14" s="9" t="str">
        <x:v>C109,C803,C804</x:v>
      </x:c>
      <x:c r="I14" s="9" t="str">
        <x:v>核对完整型号与封装；店铺未验真</x:v>
      </x:c>
      <x:c r="J14" s="9" t="str">
        <x:v>KEMET C0805C223K5RACTU 0805</x:v>
      </x:c>
      <x:c r="K14" s="9" t="str">
        <x:v>https://s.taobao.com/search?q=KEMET%20C0805C223K5RACTU%200805</x:v>
      </x:c>
      <x:c r="L14" s="9" t="str">
        <x:v>22n COMP series / 22n X7R 50V ADC reservoir</x:v>
      </x:c>
    </x:row>
    <x:row r="15" ht="42" customHeight="1">
      <x:c r="A15" s="9" t="n">
        <x:v>6</x:v>
      </x:c>
      <x:c r="B15" s="9" t="str">
        <x:v>电容</x:v>
      </x:c>
      <x:c r="C15" s="9" t="str">
        <x:v>KEMET</x:v>
      </x:c>
      <x:c r="D15" s="10" t="str">
        <x:v>C0805C241J5GACTU</x:v>
      </x:c>
      <x:c r="E15" s="12" t="str">
        <x:v>0805</x:v>
      </x:c>
      <x:c r="F15" s="11" t="n">
        <x:f>SUMIFS('位号明细'!$F$7:$F$148,'位号明细'!$D$7:$D$148,D15)</x:f>
        <x:v>1</x:v>
      </x:c>
      <x:c r="G15" s="11" t="n">
        <x:f>F15*$B$4</x:f>
        <x:v>1</x:v>
      </x:c>
      <x:c r="H15" s="9" t="str">
        <x:v>C110</x:v>
      </x:c>
      <x:c r="I15" s="9" t="str">
        <x:v>核对完整型号与封装；店铺未验真</x:v>
      </x:c>
      <x:c r="J15" s="9" t="str">
        <x:v>KEMET C0805C241J5GACTU 0805</x:v>
      </x:c>
      <x:c r="K15" s="9" t="str">
        <x:v>https://s.taobao.com/search?q=KEMET%20C0805C241J5GACTU%200805</x:v>
      </x:c>
      <x:c r="L15" s="9" t="str">
        <x:v>240p COMP pole</x:v>
      </x:c>
    </x:row>
    <x:row r="16" ht="42" customHeight="1">
      <x:c r="A16" s="9" t="n">
        <x:v>7</x:v>
      </x:c>
      <x:c r="B16" s="9" t="str">
        <x:v>电容</x:v>
      </x:c>
      <x:c r="C16" s="9" t="str">
        <x:v>KEMET</x:v>
      </x:c>
      <x:c r="D16" s="10" t="str">
        <x:v>C1210C226K4RACTU</x:v>
      </x:c>
      <x:c r="E16" s="12" t="str">
        <x:v>1210</x:v>
      </x:c>
      <x:c r="F16" s="11" t="n">
        <x:f>SUMIFS('位号明细'!$F$7:$F$148,'位号明细'!$D$7:$D$148,D16)</x:f>
        <x:v>2</x:v>
      </x:c>
      <x:c r="G16" s="11" t="n">
        <x:f>F16*$B$4</x:f>
        <x:v>2</x:v>
      </x:c>
      <x:c r="H16" s="9" t="str">
        <x:v>C113,C114</x:v>
      </x:c>
      <x:c r="I16" s="9" t="str">
        <x:v>核对完整型号与封装；店铺未验真</x:v>
      </x:c>
      <x:c r="J16" s="9" t="str">
        <x:v>KEMET C1210C226K4RACTU 1210</x:v>
      </x:c>
      <x:c r="K16" s="9" t="str">
        <x:v>https://s.taobao.com/search?q=KEMET%20C1210C226K4RACTU%201210</x:v>
      </x:c>
      <x:c r="L16" s="9" t="str">
        <x:v>22u /16V</x:v>
      </x:c>
    </x:row>
    <x:row r="17" ht="42" customHeight="1">
      <x:c r="A17" s="9" t="n">
        <x:v>8</x:v>
      </x:c>
      <x:c r="B17" s="9" t="str">
        <x:v>电容</x:v>
      </x:c>
      <x:c r="C17" s="9" t="str">
        <x:v>KEMET</x:v>
      </x:c>
      <x:c r="D17" s="10" t="str">
        <x:v>C0805C225K4RACTU</x:v>
      </x:c>
      <x:c r="E17" s="12" t="str">
        <x:v>0805</x:v>
      </x:c>
      <x:c r="F17" s="11" t="n">
        <x:f>SUMIFS('位号明细'!$F$7:$F$148,'位号明细'!$D$7:$D$148,D17)</x:f>
        <x:v>5</x:v>
      </x:c>
      <x:c r="G17" s="11" t="n">
        <x:f>F17*$B$4</x:f>
        <x:v>5</x:v>
      </x:c>
      <x:c r="H17" s="9" t="str">
        <x:v>C115,C116,C201,C202,C209</x:v>
      </x:c>
      <x:c r="I17" s="9" t="str">
        <x:v>核对完整型号与封装；店铺未验真</x:v>
      </x:c>
      <x:c r="J17" s="9" t="str">
        <x:v>KEMET C0805C225K4RACTU 0805</x:v>
      </x:c>
      <x:c r="K17" s="9" t="str">
        <x:v>https://s.taobao.com/search?q=KEMET%20C0805C225K4RACTU%200805</x:v>
      </x:c>
      <x:c r="L17" s="9" t="str">
        <x:v>2.2u /16V input / 2.2u /16V output / 2.2u VCAP /16V / 2.2u VDDA</x:v>
      </x:c>
    </x:row>
    <x:row r="18" ht="42" customHeight="1">
      <x:c r="A18" s="9" t="n">
        <x:v>9</x:v>
      </x:c>
      <x:c r="B18" s="9" t="str">
        <x:v>电容</x:v>
      </x:c>
      <x:c r="C18" s="9" t="str">
        <x:v>Panasonic</x:v>
      </x:c>
      <x:c r="D18" s="10" t="str">
        <x:v>16SVPF82M</x:v>
      </x:c>
      <x:c r="E18" s="10" t="str">
        <x:v>OS-CON B6 diameter5 height5.9</x:v>
      </x:c>
      <x:c r="F18" s="11" t="n">
        <x:f>SUMIFS('位号明细'!$F$7:$F$148,'位号明细'!$D$7:$D$148,D18)</x:f>
        <x:v>1</x:v>
      </x:c>
      <x:c r="G18" s="11" t="n">
        <x:f>F18*$B$4</x:f>
        <x:v>1</x:v>
      </x:c>
      <x:c r="H18" s="9" t="str">
        <x:v>C119</x:v>
      </x:c>
      <x:c r="I18" s="9" t="str">
        <x:v>核对完整型号与封装；店铺未验真</x:v>
      </x:c>
      <x:c r="J18" s="9" t="str">
        <x:v>Panasonic 16SVPF82M OS-CON B6 diameter5 height5.9</x:v>
      </x:c>
      <x:c r="K18" s="9" t="str">
        <x:v>https://s.taobao.com/search?q=Panasonic%2016SVPF82M%20OS-CON%20B6%20diameter5%20height5.9</x:v>
      </x:c>
      <x:c r="L18" s="9" t="str">
        <x:v>82u /16V PTC-before bulk</x:v>
      </x:c>
    </x:row>
    <x:row r="19" ht="42" customHeight="1">
      <x:c r="A19" s="9" t="n">
        <x:v>10</x:v>
      </x:c>
      <x:c r="B19" s="9" t="str">
        <x:v>电容</x:v>
      </x:c>
      <x:c r="C19" s="9" t="str">
        <x:v>KEMET</x:v>
      </x:c>
      <x:c r="D19" s="10" t="str">
        <x:v>C0805C105K4RACTU</x:v>
      </x:c>
      <x:c r="E19" s="12" t="str">
        <x:v>0805</x:v>
      </x:c>
      <x:c r="F19" s="11" t="n">
        <x:f>SUMIFS('位号明细'!$F$7:$F$148,'位号明细'!$D$7:$D$148,D19)</x:f>
        <x:v>5</x:v>
      </x:c>
      <x:c r="G19" s="11" t="n">
        <x:f>F19*$B$4</x:f>
        <x:v>5</x:v>
      </x:c>
      <x:c r="H19" s="9" t="str">
        <x:v>C120,C123,C124,C125,C126</x:v>
      </x:c>
      <x:c r="I19" s="9" t="str">
        <x:v>核对完整型号与封装；店铺未验真</x:v>
      </x:c>
      <x:c r="J19" s="9" t="str">
        <x:v>KEMET C0805C105K4RACTU 0805</x:v>
      </x:c>
      <x:c r="K19" s="9" t="str">
        <x:v>https://s.taobao.com/search?q=KEMET%20C0805C105K4RACTU%200805</x:v>
      </x:c>
      <x:c r="L19" s="9" t="str">
        <x:v>1u EXT local / 1u /16V shared input bypass / 1u /16V / 1u /16V mux VIN1 / 1u /16V mux output</x:v>
      </x:c>
    </x:row>
    <x:row r="20" ht="42" customHeight="1">
      <x:c r="A20" s="9" t="n">
        <x:v>11</x:v>
      </x:c>
      <x:c r="B20" s="9" t="str">
        <x:v>电容</x:v>
      </x:c>
      <x:c r="C20" s="9" t="str">
        <x:v>KEMET</x:v>
      </x:c>
      <x:c r="D20" s="10" t="str">
        <x:v>C0805C104K5RACTU</x:v>
      </x:c>
      <x:c r="E20" s="12" t="str">
        <x:v>0805</x:v>
      </x:c>
      <x:c r="F20" s="11" t="n">
        <x:f>SUMIFS('位号明细'!$F$7:$F$148,'位号明细'!$D$7:$D$148,D20)</x:f>
        <x:v>4</x:v>
      </x:c>
      <x:c r="G20" s="11" t="n">
        <x:f>F20*$B$4</x:f>
        <x:v>4</x:v>
      </x:c>
      <x:c r="H20" s="9" t="str">
        <x:v>C212,C401,C801,C802</x:v>
      </x:c>
      <x:c r="I20" s="9" t="str">
        <x:v>核对完整型号与封装；店铺未验真</x:v>
      </x:c>
      <x:c r="J20" s="9" t="str">
        <x:v>KEMET C0805C104K5RACTU 0805</x:v>
      </x:c>
      <x:c r="K20" s="9" t="str">
        <x:v>https://s.taobao.com/search?q=KEMET%20C0805C104K5RACTU%200805</x:v>
      </x:c>
      <x:c r="L20" s="9" t="str">
        <x:v>100n reset / 100n clamp bypass only / 100n ADC LPF / 100n X7R 50V</x:v>
      </x:c>
    </x:row>
    <x:row r="21" ht="42" customHeight="1">
      <x:c r="A21" s="9" t="n">
        <x:v>12</x:v>
      </x:c>
      <x:c r="B21" s="9" t="str">
        <x:v>电容</x:v>
      </x:c>
      <x:c r="C21" s="9" t="str">
        <x:v>YAGEO</x:v>
      </x:c>
      <x:c r="D21" s="10" t="str">
        <x:v>CC0805JRNPO9BN330</x:v>
      </x:c>
      <x:c r="E21" s="12" t="str">
        <x:v>0805</x:v>
      </x:c>
      <x:c r="F21" s="11" t="n">
        <x:f>SUMIFS('位号明细'!$F$7:$F$148,'位号明细'!$D$7:$D$148,D21)</x:f>
        <x:v>2</x:v>
      </x:c>
      <x:c r="G21" s="11" t="n">
        <x:f>F21*$B$4</x:f>
        <x:v>2</x:v>
      </x:c>
      <x:c r="H21" s="9" t="str">
        <x:v>C213,C214</x:v>
      </x:c>
      <x:c r="I21" s="9" t="str">
        <x:v>核对完整型号与封装；店铺未验真</x:v>
      </x:c>
      <x:c r="J21" s="9" t="str">
        <x:v>YAGEO CC0805JRNPO9BN330 0805</x:v>
      </x:c>
      <x:c r="K21" s="9" t="str">
        <x:v>https://s.taobao.com/search?q=YAGEO%20CC0805JRNPO9BN330%200805</x:v>
      </x:c>
      <x:c r="L21" s="9" t="str">
        <x:v>33p C0G /0805</x:v>
      </x:c>
    </x:row>
    <x:row r="22" ht="42" customHeight="1">
      <x:c r="A22" s="9" t="n">
        <x:v>13</x:v>
      </x:c>
      <x:c r="B22" s="9" t="str">
        <x:v>二极管或LED</x:v>
      </x:c>
      <x:c r="C22" s="9" t="str">
        <x:v>Nexperia</x:v>
      </x:c>
      <x:c r="D22" s="10" t="str">
        <x:v>BZT52H-C12,115</x:v>
      </x:c>
      <x:c r="E22" s="10" t="str">
        <x:v>SOD123F</x:v>
      </x:c>
      <x:c r="F22" s="11" t="n">
        <x:f>SUMIFS('位号明细'!$F$7:$F$148,'位号明细'!$D$7:$D$148,D22)</x:f>
        <x:v>1</x:v>
      </x:c>
      <x:c r="G22" s="11" t="n">
        <x:f>F22*$B$4</x:f>
        <x:v>1</x:v>
      </x:c>
      <x:c r="H22" s="9" t="str">
        <x:v>D101</x:v>
      </x:c>
      <x:c r="I22" s="9" t="str">
        <x:v>核对完整型号与封装；店铺未验真</x:v>
      </x:c>
      <x:c r="J22" s="9" t="str">
        <x:v>Nexperia BZT52H-C12,115 SOD123F</x:v>
      </x:c>
      <x:c r="K22" s="9" t="str">
        <x:v>https://s.taobao.com/search?q=Nexperia%20BZT52H-C12%2C115%20SOD123F</x:v>
      </x:c>
      <x:c r="L22" s="9" t="str">
        <x:v>12V VGS clamp K=source</x:v>
      </x:c>
    </x:row>
    <x:row r="23" ht="42" customHeight="1">
      <x:c r="A23" s="9" t="n">
        <x:v>14</x:v>
      </x:c>
      <x:c r="B23" s="9" t="str">
        <x:v>二极管或LED</x:v>
      </x:c>
      <x:c r="C23" s="9" t="str">
        <x:v>ST</x:v>
      </x:c>
      <x:c r="D23" s="10" t="str">
        <x:v>SMBJ26CA-TR</x:v>
      </x:c>
      <x:c r="E23" s="10" t="str">
        <x:v>SMB DO214AA</x:v>
      </x:c>
      <x:c r="F23" s="11" t="n">
        <x:f>SUMIFS('位号明细'!$F$7:$F$148,'位号明细'!$D$7:$D$148,D23)</x:f>
        <x:v>1</x:v>
      </x:c>
      <x:c r="G23" s="11" t="n">
        <x:f>F23*$B$4</x:f>
        <x:v>1</x:v>
      </x:c>
      <x:c r="H23" s="9" t="str">
        <x:v>D102</x:v>
      </x:c>
      <x:c r="I23" s="9" t="str">
        <x:v>核对完整型号与封装；店铺未验真</x:v>
      </x:c>
      <x:c r="J23" s="9" t="str">
        <x:v>ST SMBJ26CA-TR SMB DO214AA</x:v>
      </x:c>
      <x:c r="K23" s="9" t="str">
        <x:v>https://s.taobao.com/search?q=ST%20SMBJ26CA-TR%20SMB%20DO214AA</x:v>
      </x:c>
      <x:c r="L23" s="9" t="str">
        <x:v>26V bidirectional TVS</x:v>
      </x:c>
    </x:row>
    <x:row r="24" ht="42" customHeight="1">
      <x:c r="A24" s="9" t="n">
        <x:v>15</x:v>
      </x:c>
      <x:c r="B24" s="9" t="str">
        <x:v>二极管或LED</x:v>
      </x:c>
      <x:c r="C24" s="9" t="str">
        <x:v>ST</x:v>
      </x:c>
      <x:c r="D24" s="10" t="str">
        <x:v>STPS8H100G-TR</x:v>
      </x:c>
      <x:c r="E24" s="10" t="str">
        <x:v>D2PAK A/K/tabK</x:v>
      </x:c>
      <x:c r="F24" s="11" t="n">
        <x:f>SUMIFS('位号明细'!$F$7:$F$148,'位号明细'!$D$7:$D$148,D24)</x:f>
        <x:v>1</x:v>
      </x:c>
      <x:c r="G24" s="11" t="n">
        <x:f>F24*$B$4</x:f>
        <x:v>1</x:v>
      </x:c>
      <x:c r="H24" s="9" t="str">
        <x:v>D103</x:v>
      </x:c>
      <x:c r="I24" s="9" t="str">
        <x:v>核对完整型号与封装；店铺未验真</x:v>
      </x:c>
      <x:c r="J24" s="9" t="str">
        <x:v>ST STPS8H100G-TR D2PAK A/K/tabK</x:v>
      </x:c>
      <x:c r="K24" s="9" t="str">
        <x:v>https://s.taobao.com/search?q=ST%20STPS8H100G-TR%20D2PAK%20A/K/tabK</x:v>
      </x:c>
      <x:c r="L24" s="9" t="str">
        <x:v>STPS8H100G-TR</x:v>
      </x:c>
    </x:row>
    <x:row r="25" ht="42" customHeight="1">
      <x:c r="A25" s="9" t="n">
        <x:v>16</x:v>
      </x:c>
      <x:c r="B25" s="9" t="str">
        <x:v>二极管或LED</x:v>
      </x:c>
      <x:c r="C25" s="9" t="str">
        <x:v>Lite-On</x:v>
      </x:c>
      <x:c r="D25" s="10" t="str">
        <x:v>LTST-C170GKT</x:v>
      </x:c>
      <x:c r="E25" s="10" t="str">
        <x:v>0805 LED</x:v>
      </x:c>
      <x:c r="F25" s="11" t="n">
        <x:f>SUMIFS('位号明细'!$F$7:$F$148,'位号明细'!$D$7:$D$148,D25)</x:f>
        <x:v>2</x:v>
      </x:c>
      <x:c r="G25" s="11" t="n">
        <x:f>F25*$B$4</x:f>
        <x:v>2</x:v>
      </x:c>
      <x:c r="H25" s="9" t="str">
        <x:v>D201,D202</x:v>
      </x:c>
      <x:c r="I25" s="9" t="str">
        <x:v>核对完整型号与封装；店铺未验真</x:v>
      </x:c>
      <x:c r="J25" s="9" t="str">
        <x:v>Lite-On LTST-C170GKT 0805 LED</x:v>
      </x:c>
      <x:c r="K25" s="9" t="str">
        <x:v>https://s.taobao.com/search?q=Lite-On%20LTST-C170GKT%200805%20LED</x:v>
      </x:c>
      <x:c r="L25" s="9" t="str">
        <x:v>GREEN; PB0 HIGH=ON / GREEN; 3V3_MCU_PRESENT</x:v>
      </x:c>
    </x:row>
    <x:row r="26" ht="42" customHeight="1">
      <x:c r="A26" s="9" t="n">
        <x:v>17</x:v>
      </x:c>
      <x:c r="B26" s="9" t="str">
        <x:v>保险丝</x:v>
      </x:c>
      <x:c r="C26" s="9" t="str">
        <x:v>Littelfuse</x:v>
      </x:c>
      <x:c r="D26" s="10" t="str">
        <x:v>0451003.MRL</x:v>
      </x:c>
      <x:c r="E26" s="10" t="str">
        <x:v>NANO2 451 SMD</x:v>
      </x:c>
      <x:c r="F26" s="11" t="n">
        <x:f>SUMIFS('位号明细'!$F$7:$F$148,'位号明细'!$D$7:$D$148,D26)</x:f>
        <x:v>1</x:v>
      </x:c>
      <x:c r="G26" s="11" t="n">
        <x:f>F26*$B$4</x:f>
        <x:v>1</x:v>
      </x:c>
      <x:c r="H26" s="9" t="str">
        <x:v>F101</x:v>
      </x:c>
      <x:c r="I26" s="9" t="str">
        <x:v>核对完整型号与封装；店铺未验真</x:v>
      </x:c>
      <x:c r="J26" s="9" t="str">
        <x:v>Littelfuse 0451003.MRL NANO2 451 SMD</x:v>
      </x:c>
      <x:c r="K26" s="9" t="str">
        <x:v>https://s.taobao.com/search?q=Littelfuse%200451003.MRL%20NANO2%20451%20SMD</x:v>
      </x:c>
      <x:c r="L26" s="9" t="str">
        <x:v>3A /125V</x:v>
      </x:c>
    </x:row>
    <x:row r="27" ht="42" customHeight="1">
      <x:c r="A27" s="9" t="n">
        <x:v>18</x:v>
      </x:c>
      <x:c r="B27" s="9" t="str">
        <x:v>连接器</x:v>
      </x:c>
      <x:c r="C27" s="9" t="str">
        <x:v>Amphenol</x:v>
      </x:c>
      <x:c r="D27" s="10" t="str">
        <x:v>124019772112A</x:v>
      </x:c>
      <x:c r="E27" s="10" t="str">
        <x:v>USB-C dual-row SMT / 4 plated SH slots</x:v>
      </x:c>
      <x:c r="F27" s="11" t="n">
        <x:f>SUMIFS('位号明细'!$F$7:$F$148,'位号明细'!$D$7:$D$148,D27)</x:f>
        <x:v>1</x:v>
      </x:c>
      <x:c r="G27" s="11" t="n">
        <x:f>F27*$B$4</x:f>
        <x:v>1</x:v>
      </x:c>
      <x:c r="H27" s="9" t="str">
        <x:v>J401</x:v>
      </x:c>
      <x:c r="I27" s="9" t="str">
        <x:v>核对完整型号与封装；店铺未验真</x:v>
      </x:c>
      <x:c r="J27" s="9" t="str">
        <x:v>Amphenol 124019772112A USB-C dual-row SMT / 4 plated SH slots</x:v>
      </x:c>
      <x:c r="K27" s="9" t="str">
        <x:v>https://s.taobao.com/search?q=Amphenol%20124019772112A%20USB-C%20dual-row%20SMT%20/%204%20plated%20SH%20slots</x:v>
      </x:c>
      <x:c r="L27" s="9" t="str">
        <x:v>124019772112A</x:v>
      </x:c>
    </x:row>
    <x:row r="28" ht="42" customHeight="1">
      <x:c r="A28" s="9" t="n">
        <x:v>19</x:v>
      </x:c>
      <x:c r="B28" s="9" t="str">
        <x:v>连接器</x:v>
      </x:c>
      <x:c r="C28" s="9" t="str">
        <x:v>Molex</x:v>
      </x:c>
      <x:c r="D28" s="10" t="str">
        <x:v>1040310811</x:v>
      </x:c>
      <x:c r="E28" s="10" t="str">
        <x:v>microSD SMT push-pull8+2detect</x:v>
      </x:c>
      <x:c r="F28" s="11" t="n">
        <x:f>SUMIFS('位号明细'!$F$7:$F$148,'位号明细'!$D$7:$D$148,D28)</x:f>
        <x:v>1</x:v>
      </x:c>
      <x:c r="G28" s="11" t="n">
        <x:f>F28*$B$4</x:f>
        <x:v>1</x:v>
      </x:c>
      <x:c r="H28" s="9" t="str">
        <x:v>J501</x:v>
      </x:c>
      <x:c r="I28" s="9" t="str">
        <x:v>核对完整型号与封装；店铺未验真</x:v>
      </x:c>
      <x:c r="J28" s="9" t="str">
        <x:v>Molex 1040310811 microSD SMT push-pull8+2detect</x:v>
      </x:c>
      <x:c r="K28" s="9" t="str">
        <x:v>https://s.taobao.com/search?q=Molex%201040310811%20microSD%20SMT%20push-pull8%2B2detect</x:v>
      </x:c>
      <x:c r="L28" s="9" t="str">
        <x:v>1040310811</x:v>
      </x:c>
    </x:row>
    <x:row r="29" ht="42" customHeight="1">
      <x:c r="A29" s="9" t="n">
        <x:v>20</x:v>
      </x:c>
      <x:c r="B29" s="9" t="str">
        <x:v>连接器</x:v>
      </x:c>
      <x:c r="C29" s="9" t="str">
        <x:v>JST</x:v>
      </x:c>
      <x:c r="D29" s="10" t="str">
        <x:v>SM04B-GHS-TB(LF)(SN)</x:v>
      </x:c>
      <x:c r="E29" s="10" t="str">
        <x:v>GH1.25 4P side-entry SMT</x:v>
      </x:c>
      <x:c r="F29" s="11" t="n">
        <x:f>SUMIFS('位号明细'!$F$7:$F$148,'位号明细'!$D$7:$D$148,D29)</x:f>
        <x:v>2</x:v>
      </x:c>
      <x:c r="G29" s="11" t="n">
        <x:f>F29*$B$4</x:f>
        <x:v>2</x:v>
      </x:c>
      <x:c r="H29" s="9" t="str">
        <x:v>J601,J704</x:v>
      </x:c>
      <x:c r="I29" s="9" t="str">
        <x:v>核对完整型号与封装；店铺未验真</x:v>
      </x:c>
      <x:c r="J29" s="9" t="str">
        <x:v>JST SM04B-GHS-TB(LF)(SN) GH1.25 4P side-entry SMT</x:v>
      </x:c>
      <x:c r="K29" s="9" t="str">
        <x:v>https://s.taobao.com/search?q=JST%20SM04B-GHS-TB%28LF%29%28SN%29%20GH1.25%204P%20side-entry%20SMT</x:v>
      </x:c>
      <x:c r="L29" s="9" t="str">
        <x:v>SM04B-GHS-TB(LF)(SN)</x:v>
      </x:c>
    </x:row>
    <x:row r="30" ht="42" customHeight="1">
      <x:c r="A30" s="9" t="n">
        <x:v>21</x:v>
      </x:c>
      <x:c r="B30" s="9" t="str">
        <x:v>连接器</x:v>
      </x:c>
      <x:c r="C30" s="9" t="str">
        <x:v>JST</x:v>
      </x:c>
      <x:c r="D30" s="10" t="str">
        <x:v>SM06B-GHS-TB(LF)(SN)</x:v>
      </x:c>
      <x:c r="E30" s="10" t="str">
        <x:v>GH1.25 6P side-entry SMT</x:v>
      </x:c>
      <x:c r="F30" s="11" t="n">
        <x:f>SUMIFS('位号明细'!$F$7:$F$148,'位号明细'!$D$7:$D$148,D30)</x:f>
        <x:v>4</x:v>
      </x:c>
      <x:c r="G30" s="11" t="n">
        <x:f>F30*$B$4</x:f>
        <x:v>4</x:v>
      </x:c>
      <x:c r="H30" s="9" t="str">
        <x:v>J701,J702,J703,J809</x:v>
      </x:c>
      <x:c r="I30" s="9" t="str">
        <x:v>核对完整型号与封装；店铺未验真</x:v>
      </x:c>
      <x:c r="J30" s="9" t="str">
        <x:v>JST SM06B-GHS-TB(LF)(SN) GH1.25 6P side-entry SMT</x:v>
      </x:c>
      <x:c r="K30" s="9" t="str">
        <x:v>https://s.taobao.com/search?q=JST%20SM06B-GHS-TB%28LF%29%28SN%29%20GH1.25%206P%20side-entry%20SMT</x:v>
      </x:c>
      <x:c r="L30" s="9" t="str">
        <x:v>SM06B-GHS-TB(LF)(SN) / CURRENT monitor only</x:v>
      </x:c>
    </x:row>
    <x:row r="31" ht="42" customHeight="1">
      <x:c r="A31" s="9" t="n">
        <x:v>22</x:v>
      </x:c>
      <x:c r="B31" s="9" t="str">
        <x:v>连接器</x:v>
      </x:c>
      <x:c r="C31" s="9" t="str">
        <x:v>Samtec</x:v>
      </x:c>
      <x:c r="D31" s="10" t="str">
        <x:v>TSW-102-07-G-S</x:v>
      </x:c>
      <x:c r="E31" s="10" t="str">
        <x:v>1x2 2.54 THT top insertion</x:v>
      </x:c>
      <x:c r="F31" s="11" t="n">
        <x:f>SUMIFS('位号明细'!$F$7:$F$148,'位号明细'!$D$7:$D$148,D31)</x:f>
        <x:v>6</x:v>
      </x:c>
      <x:c r="G31" s="11" t="n">
        <x:f>F31*$B$4</x:f>
        <x:v>6</x:v>
      </x:c>
      <x:c r="H31" s="9" t="str">
        <x:v>J801,J802,J803,J804,J805,J806</x:v>
      </x:c>
      <x:c r="I31" s="9" t="str">
        <x:v>核对完整型号与封装；店铺未验真</x:v>
      </x:c>
      <x:c r="J31" s="9" t="str">
        <x:v>Samtec TSW-102-07-G-S 1x2 2.54 THT top insertion</x:v>
      </x:c>
      <x:c r="K31" s="9" t="str">
        <x:v>https://s.taobao.com/search?q=Samtec%20TSW-102-07-G-S%201x2%202.54%20THT%20top%20insertion</x:v>
      </x:c>
      <x:c r="L31" s="9" t="str">
        <x:v>OUT1 /GND / OUT2 /GND / OUT3 /GND / OUT4 /GND / OUT5 /GND / OUT6 /GND</x:v>
      </x:c>
    </x:row>
    <x:row r="32" ht="42" customHeight="1">
      <x:c r="A32" s="9" t="n">
        <x:v>23</x:v>
      </x:c>
      <x:c r="B32" s="9" t="str">
        <x:v>连接器</x:v>
      </x:c>
      <x:c r="C32" s="9" t="str">
        <x:v>Samtec</x:v>
      </x:c>
      <x:c r="D32" s="10" t="str">
        <x:v>TSW-105-07-G-S</x:v>
      </x:c>
      <x:c r="E32" s="10" t="str">
        <x:v>1x5 2.54 THT top insertion</x:v>
      </x:c>
      <x:c r="F32" s="11" t="n">
        <x:f>SUMIFS('位号明细'!$F$7:$F$148,'位号明细'!$D$7:$D$148,D32)</x:f>
        <x:v>1</x:v>
      </x:c>
      <x:c r="G32" s="11" t="n">
        <x:f>F32*$B$4</x:f>
        <x:v>1</x:v>
      </x:c>
      <x:c r="H32" s="9" t="str">
        <x:v>J807</x:v>
      </x:c>
      <x:c r="I32" s="9" t="str">
        <x:v>核对完整型号与封装；店铺未验真</x:v>
      </x:c>
      <x:c r="J32" s="9" t="str">
        <x:v>Samtec TSW-105-07-G-S 1x5 2.54 THT top insertion</x:v>
      </x:c>
      <x:c r="K32" s="9" t="str">
        <x:v>https://s.taobao.com/search?q=Samtec%20TSW-105-07-G-S%201x5%202.54%20THT%20top%20insertion</x:v>
      </x:c>
      <x:c r="L32" s="9" t="str">
        <x:v>SWD:1REF2GND3IO4CLK5NRST</x:v>
      </x:c>
    </x:row>
    <x:row r="33" ht="42" customHeight="1">
      <x:c r="A33" s="9" t="n">
        <x:v>24</x:v>
      </x:c>
      <x:c r="B33" s="9" t="str">
        <x:v>电感</x:v>
      </x:c>
      <x:c r="C33" s="9" t="str">
        <x:v>Bourns</x:v>
      </x:c>
      <x:c r="D33" s="10" t="str">
        <x:v>SRP1038A-100M</x:v>
      </x:c>
      <x:c r="E33" s="10" t="str">
        <x:v>Lead-frame SMD; case max11.5x10.3x4.0mm</x:v>
      </x:c>
      <x:c r="F33" s="11" t="n">
        <x:f>SUMIFS('位号明细'!$F$7:$F$148,'位号明细'!$D$7:$D$148,D33)</x:f>
        <x:v>1</x:v>
      </x:c>
      <x:c r="G33" s="11" t="n">
        <x:f>F33*$B$4</x:f>
        <x:v>1</x:v>
      </x:c>
      <x:c r="H33" s="9" t="str">
        <x:v>L101</x:v>
      </x:c>
      <x:c r="I33" s="9" t="str">
        <x:v>核对完整型号与封装；店铺未验真</x:v>
      </x:c>
      <x:c r="J33" s="9" t="str">
        <x:v>Bourns SRP1038A-100M Lead-frame SMD; case max11.5x10.3x4.0mm</x:v>
      </x:c>
      <x:c r="K33" s="9" t="str">
        <x:v>https://s.taobao.com/search?q=Bourns%20SRP1038A-100M%20Lead-frame%20SMD%3B%20case%20max11.5x10.3x4.0mm</x:v>
      </x:c>
      <x:c r="L33" s="9" t="str">
        <x:v>10uH</x:v>
      </x:c>
    </x:row>
    <x:row r="34" ht="42" customHeight="1">
      <x:c r="A34" s="9" t="n">
        <x:v>25</x:v>
      </x:c>
      <x:c r="B34" s="9" t="str">
        <x:v>电感</x:v>
      </x:c>
      <x:c r="C34" s="9" t="str">
        <x:v>Bourns</x:v>
      </x:c>
      <x:c r="D34" s="10" t="str">
        <x:v>SRN6045-4R7Y</x:v>
      </x:c>
      <x:c r="E34" s="10" t="str">
        <x:v>6x6x4.5 SMD visible end terminals</x:v>
      </x:c>
      <x:c r="F34" s="11" t="n">
        <x:f>SUMIFS('位号明细'!$F$7:$F$148,'位号明细'!$D$7:$D$148,D34)</x:f>
        <x:v>1</x:v>
      </x:c>
      <x:c r="G34" s="11" t="n">
        <x:f>F34*$B$4</x:f>
        <x:v>1</x:v>
      </x:c>
      <x:c r="H34" s="9" t="str">
        <x:v>L102</x:v>
      </x:c>
      <x:c r="I34" s="9" t="str">
        <x:v>核对完整型号与封装；店铺未验真</x:v>
      </x:c>
      <x:c r="J34" s="9" t="str">
        <x:v>Bourns SRN6045-4R7Y 6x6x4.5 SMD visible end terminals</x:v>
      </x:c>
      <x:c r="K34" s="9" t="str">
        <x:v>https://s.taobao.com/search?q=Bourns%20SRN6045-4R7Y%206x6x4.5%20SMD%20visible%20end%20terminals</x:v>
      </x:c>
      <x:c r="L34" s="9" t="str">
        <x:v>4.7uH design-calculated at 5V</x:v>
      </x:c>
    </x:row>
    <x:row r="35" ht="42" customHeight="1">
      <x:c r="A35" s="9" t="n">
        <x:v>26</x:v>
      </x:c>
      <x:c r="B35" s="9" t="str">
        <x:v>MOS管</x:v>
      </x:c>
      <x:c r="C35" s="9" t="str">
        <x:v>Diodes</x:v>
      </x:c>
      <x:c r="D35" s="10" t="str">
        <x:v>DMP6023LSS-13</x:v>
      </x:c>
      <x:c r="E35" s="10" t="str">
        <x:v>SO8</x:v>
      </x:c>
      <x:c r="F35" s="11" t="n">
        <x:f>SUMIFS('位号明细'!$F$7:$F$148,'位号明细'!$D$7:$D$148,D35)</x:f>
        <x:v>1</x:v>
      </x:c>
      <x:c r="G35" s="11" t="n">
        <x:f>F35*$B$4</x:f>
        <x:v>1</x:v>
      </x:c>
      <x:c r="H35" s="9" t="str">
        <x:v>Q101</x:v>
      </x:c>
      <x:c r="I35" s="9" t="str">
        <x:v>核对完整型号与封装；店铺未验真</x:v>
      </x:c>
      <x:c r="J35" s="9" t="str">
        <x:v>Diodes DMP6023LSS-13 SO8</x:v>
      </x:c>
      <x:c r="K35" s="9" t="str">
        <x:v>https://s.taobao.com/search?q=Diodes%20DMP6023LSS-13%20SO8</x:v>
      </x:c>
      <x:c r="L35" s="9" t="str">
        <x:v>DMP6023LSS-13</x:v>
      </x:c>
    </x:row>
    <x:row r="36" ht="42" customHeight="1">
      <x:c r="A36" s="9" t="n">
        <x:v>27</x:v>
      </x:c>
      <x:c r="B36" s="9" t="str">
        <x:v>电阻</x:v>
      </x:c>
      <x:c r="C36" s="9" t="str">
        <x:v>YAGEO</x:v>
      </x:c>
      <x:c r="D36" s="10" t="str">
        <x:v>RC0805FR-0720KL</x:v>
      </x:c>
      <x:c r="E36" s="12" t="str">
        <x:v>0805</x:v>
      </x:c>
      <x:c r="F36" s="11" t="n">
        <x:f>SUMIFS('位号明细'!$F$7:$F$148,'位号明细'!$D$7:$D$148,D36)</x:f>
        <x:v>2</x:v>
      </x:c>
      <x:c r="G36" s="11" t="n">
        <x:f>F36*$B$4</x:f>
        <x:v>2</x:v>
      </x:c>
      <x:c r="H36" s="9" t="str">
        <x:v>R101,R806</x:v>
      </x:c>
      <x:c r="I36" s="9" t="str">
        <x:v>核对完整型号与封装；店铺未验真</x:v>
      </x:c>
      <x:c r="J36" s="9" t="str">
        <x:v>YAGEO RC0805FR-0720KL 0805</x:v>
      </x:c>
      <x:c r="K36" s="9" t="str">
        <x:v>https://s.taobao.com/search?q=YAGEO%20RC0805FR-0720KL%200805</x:v>
      </x:c>
      <x:c r="L36" s="9" t="str">
        <x:v>20k / 20k 1% scale20/42.1</x:v>
      </x:c>
    </x:row>
    <x:row r="37" ht="42" customHeight="1">
      <x:c r="A37" s="9" t="n">
        <x:v>28</x:v>
      </x:c>
      <x:c r="B37" s="9" t="str">
        <x:v>电阻</x:v>
      </x:c>
      <x:c r="C37" s="9" t="str">
        <x:v>YAGEO</x:v>
      </x:c>
      <x:c r="D37" s="10" t="str">
        <x:v>RC0805FR-07294KL</x:v>
      </x:c>
      <x:c r="E37" s="12" t="str">
        <x:v>0805</x:v>
      </x:c>
      <x:c r="F37" s="11" t="n">
        <x:f>SUMIFS('位号明细'!$F$7:$F$148,'位号明细'!$D$7:$D$148,D37)</x:f>
        <x:v>1</x:v>
      </x:c>
      <x:c r="G37" s="11" t="n">
        <x:f>F37*$B$4</x:f>
        <x:v>1</x:v>
      </x:c>
      <x:c r="H37" s="9" t="str">
        <x:v>R102</x:v>
      </x:c>
      <x:c r="I37" s="9" t="str">
        <x:v>核对完整型号与封装；店铺未验真</x:v>
      </x:c>
      <x:c r="J37" s="9" t="str">
        <x:v>YAGEO RC0805FR-07294KL 0805</x:v>
      </x:c>
      <x:c r="K37" s="9" t="str">
        <x:v>https://s.taobao.com/search?q=YAGEO%20RC0805FR-07294KL%200805</x:v>
      </x:c>
      <x:c r="L37" s="9" t="str">
        <x:v>294k</x:v>
      </x:c>
    </x:row>
    <x:row r="38" ht="42" customHeight="1">
      <x:c r="A38" s="9" t="n">
        <x:v>29</x:v>
      </x:c>
      <x:c r="B38" s="9" t="str">
        <x:v>电阻</x:v>
      </x:c>
      <x:c r="C38" s="9" t="str">
        <x:v>YAGEO</x:v>
      </x:c>
      <x:c r="D38" s="10" t="str">
        <x:v>RC0805FR-0754K9L</x:v>
      </x:c>
      <x:c r="E38" s="12" t="str">
        <x:v>0805</x:v>
      </x:c>
      <x:c r="F38" s="11" t="n">
        <x:f>SUMIFS('位号明细'!$F$7:$F$148,'位号明细'!$D$7:$D$148,D38)</x:f>
        <x:v>1</x:v>
      </x:c>
      <x:c r="G38" s="11" t="n">
        <x:f>F38*$B$4</x:f>
        <x:v>1</x:v>
      </x:c>
      <x:c r="H38" s="9" t="str">
        <x:v>R103</x:v>
      </x:c>
      <x:c r="I38" s="9" t="str">
        <x:v>核对完整型号与封装；店铺未验真</x:v>
      </x:c>
      <x:c r="J38" s="9" t="str">
        <x:v>YAGEO RC0805FR-0754K9L 0805</x:v>
      </x:c>
      <x:c r="K38" s="9" t="str">
        <x:v>https://s.taobao.com/search?q=YAGEO%20RC0805FR-0754K9L%200805</x:v>
      </x:c>
      <x:c r="L38" s="9" t="str">
        <x:v>54.9k</x:v>
      </x:c>
    </x:row>
    <x:row r="39" ht="42" customHeight="1">
      <x:c r="A39" s="9" t="n">
        <x:v>30</x:v>
      </x:c>
      <x:c r="B39" s="9" t="str">
        <x:v>电阻</x:v>
      </x:c>
      <x:c r="C39" s="9" t="str">
        <x:v>YAGEO</x:v>
      </x:c>
      <x:c r="D39" s="10" t="str">
        <x:v>RC0805FR-07200KL</x:v>
      </x:c>
      <x:c r="E39" s="12" t="str">
        <x:v>0805</x:v>
      </x:c>
      <x:c r="F39" s="11" t="n">
        <x:f>SUMIFS('位号明细'!$F$7:$F$148,'位号明细'!$D$7:$D$148,D39)</x:f>
        <x:v>1</x:v>
      </x:c>
      <x:c r="G39" s="11" t="n">
        <x:f>F39*$B$4</x:f>
        <x:v>1</x:v>
      </x:c>
      <x:c r="H39" s="9" t="str">
        <x:v>R104</x:v>
      </x:c>
      <x:c r="I39" s="9" t="str">
        <x:v>核对完整型号与封装；店铺未验真</x:v>
      </x:c>
      <x:c r="J39" s="9" t="str">
        <x:v>YAGEO RC0805FR-07200KL 0805</x:v>
      </x:c>
      <x:c r="K39" s="9" t="str">
        <x:v>https://s.taobao.com/search?q=YAGEO%20RC0805FR-07200KL%200805</x:v>
      </x:c>
      <x:c r="L39" s="9" t="str">
        <x:v>200k</x:v>
      </x:c>
    </x:row>
    <x:row r="40" ht="42" customHeight="1">
      <x:c r="A40" s="9" t="n">
        <x:v>31</x:v>
      </x:c>
      <x:c r="B40" s="9" t="str">
        <x:v>电阻</x:v>
      </x:c>
      <x:c r="C40" s="9" t="str">
        <x:v>YAGEO</x:v>
      </x:c>
      <x:c r="D40" s="10" t="str">
        <x:v>RT0805BRD0753K6L</x:v>
      </x:c>
      <x:c r="E40" s="12" t="str">
        <x:v>0805</x:v>
      </x:c>
      <x:c r="F40" s="11" t="n">
        <x:f>SUMIFS('位号明细'!$F$7:$F$148,'位号明细'!$D$7:$D$148,D40)</x:f>
        <x:v>1</x:v>
      </x:c>
      <x:c r="G40" s="11" t="n">
        <x:f>F40*$B$4</x:f>
        <x:v>1</x:v>
      </x:c>
      <x:c r="H40" s="9" t="str">
        <x:v>R105</x:v>
      </x:c>
      <x:c r="I40" s="9" t="str">
        <x:v>候选字段待核对：R105</x:v>
      </x:c>
      <x:c r="J40" s="9" t="str">
        <x:v>YAGEO RT0805BRD0753K6L 0805</x:v>
      </x:c>
      <x:c r="K40" s="9" t="str">
        <x:v>https://s.taobao.com/search?q=YAGEO%20RT0805BRD0753K6L%200805</x:v>
      </x:c>
      <x:c r="L40" s="9" t="str">
        <x:v>53.6k 0.1%</x:v>
      </x:c>
    </x:row>
    <x:row r="41" ht="42" customHeight="1">
      <x:c r="A41" s="9" t="n">
        <x:v>32</x:v>
      </x:c>
      <x:c r="B41" s="9" t="str">
        <x:v>电阻</x:v>
      </x:c>
      <x:c r="C41" s="9" t="str">
        <x:v>YAGEO</x:v>
      </x:c>
      <x:c r="D41" s="10" t="str">
        <x:v>RT0805BRD0710KL</x:v>
      </x:c>
      <x:c r="E41" s="12" t="str">
        <x:v>0805</x:v>
      </x:c>
      <x:c r="F41" s="11" t="n">
        <x:f>SUMIFS('位号明细'!$F$7:$F$148,'位号明细'!$D$7:$D$148,D41)</x:f>
        <x:v>3</x:v>
      </x:c>
      <x:c r="G41" s="11" t="n">
        <x:f>F41*$B$4</x:f>
        <x:v>3</x:v>
      </x:c>
      <x:c r="H41" s="9" t="str">
        <x:v>R106,R112,R802</x:v>
      </x:c>
      <x:c r="I41" s="9" t="str">
        <x:v>核对完整型号与封装；店铺未验真</x:v>
      </x:c>
      <x:c r="J41" s="9" t="str">
        <x:v>YAGEO RT0805BRD0710KL 0805</x:v>
      </x:c>
      <x:c r="K41" s="9" t="str">
        <x:v>https://s.taobao.com/search?q=YAGEO%20RT0805BRD0710KL%200805</x:v>
      </x:c>
      <x:c r="L41" s="9" t="str">
        <x:v>10k 0.1% / 10k 0.1% scale16</x:v>
      </x:c>
    </x:row>
    <x:row r="42" ht="42" customHeight="1">
      <x:c r="A42" s="9" t="n">
        <x:v>33</x:v>
      </x:c>
      <x:c r="B42" s="9" t="str">
        <x:v>电阻</x:v>
      </x:c>
      <x:c r="C42" s="9" t="str">
        <x:v>YAGEO</x:v>
      </x:c>
      <x:c r="D42" s="10" t="str">
        <x:v>RC0805FR-0718K7L</x:v>
      </x:c>
      <x:c r="E42" s="12" t="str">
        <x:v>0805</x:v>
      </x:c>
      <x:c r="F42" s="11" t="n">
        <x:f>SUMIFS('位号明细'!$F$7:$F$148,'位号明细'!$D$7:$D$148,D42)</x:f>
        <x:v>1</x:v>
      </x:c>
      <x:c r="G42" s="11" t="n">
        <x:f>F42*$B$4</x:f>
        <x:v>1</x:v>
      </x:c>
      <x:c r="H42" s="9" t="str">
        <x:v>R107</x:v>
      </x:c>
      <x:c r="I42" s="9" t="str">
        <x:v>核对完整型号与封装；店铺未验真</x:v>
      </x:c>
      <x:c r="J42" s="9" t="str">
        <x:v>YAGEO RC0805FR-0718K7L 0805</x:v>
      </x:c>
      <x:c r="K42" s="9" t="str">
        <x:v>https://s.taobao.com/search?q=YAGEO%20RC0805FR-0718K7L%200805</x:v>
      </x:c>
      <x:c r="L42" s="9" t="str">
        <x:v>18.7k</x:v>
      </x:c>
    </x:row>
    <x:row r="43" ht="42" customHeight="1">
      <x:c r="A43" s="9" t="n">
        <x:v>34</x:v>
      </x:c>
      <x:c r="B43" s="9" t="str">
        <x:v>电阻</x:v>
      </x:c>
      <x:c r="C43" s="9" t="str">
        <x:v>YAGEO</x:v>
      </x:c>
      <x:c r="D43" s="10" t="str">
        <x:v>RC0805FR-0710RL</x:v>
      </x:c>
      <x:c r="E43" s="12" t="str">
        <x:v>0805</x:v>
      </x:c>
      <x:c r="F43" s="11" t="n">
        <x:f>SUMIFS('位号明细'!$F$7:$F$148,'位号明细'!$D$7:$D$148,D43)</x:f>
        <x:v>2</x:v>
      </x:c>
      <x:c r="G43" s="11" t="n">
        <x:f>F43*$B$4</x:f>
        <x:v>2</x:v>
      </x:c>
      <x:c r="H43" s="9" t="str">
        <x:v>R108,R201</x:v>
      </x:c>
      <x:c r="I43" s="9" t="str">
        <x:v>核对完整型号与封装；店铺未验真</x:v>
      </x:c>
      <x:c r="J43" s="9" t="str">
        <x:v>YAGEO RC0805FR-0710RL 0805</x:v>
      </x:c>
      <x:c r="K43" s="9" t="str">
        <x:v>https://s.taobao.com/search?q=YAGEO%20RC0805FR-0710RL%200805</x:v>
      </x:c>
      <x:c r="L43" s="9" t="str">
        <x:v>10R RC sensor filter / 10R VDDA filter</x:v>
      </x:c>
    </x:row>
    <x:row r="44" ht="42" customHeight="1">
      <x:c r="A44" s="9" t="n">
        <x:v>35</x:v>
      </x:c>
      <x:c r="B44" s="9" t="str">
        <x:v>电阻</x:v>
      </x:c>
      <x:c r="C44" s="9" t="str">
        <x:v>YAGEO</x:v>
      </x:c>
      <x:c r="D44" s="10" t="str">
        <x:v>RC0805FR-0722K1L</x:v>
      </x:c>
      <x:c r="E44" s="12" t="str">
        <x:v>0805</x:v>
      </x:c>
      <x:c r="F44" s="11" t="n">
        <x:f>SUMIFS('位号明细'!$F$7:$F$148,'位号明细'!$D$7:$D$148,D44)</x:f>
        <x:v>2</x:v>
      </x:c>
      <x:c r="G44" s="11" t="n">
        <x:f>F44*$B$4</x:f>
        <x:v>2</x:v>
      </x:c>
      <x:c r="H44" s="9" t="str">
        <x:v>R109,R805</x:v>
      </x:c>
      <x:c r="I44" s="9" t="str">
        <x:v>核对完整型号与封装；店铺未验真</x:v>
      </x:c>
      <x:c r="J44" s="9" t="str">
        <x:v>YAGEO RC0805FR-0722K1L 0805</x:v>
      </x:c>
      <x:c r="K44" s="9" t="str">
        <x:v>https://s.taobao.com/search?q=YAGEO%20RC0805FR-0722K1L%200805</x:v>
      </x:c>
      <x:c r="L44" s="9" t="str">
        <x:v>22.1k limit / 22.1k 1% &gt;=100V</x:v>
      </x:c>
    </x:row>
    <x:row r="45" ht="42" customHeight="1">
      <x:c r="A45" s="9" t="n">
        <x:v>36</x:v>
      </x:c>
      <x:c r="B45" s="9" t="str">
        <x:v>电阻</x:v>
      </x:c>
      <x:c r="C45" s="9" t="str">
        <x:v>YAGEO</x:v>
      </x:c>
      <x:c r="D45" s="10" t="str">
        <x:v>RC0805FR-0710KL</x:v>
      </x:c>
      <x:c r="E45" s="12" t="str">
        <x:v>0805</x:v>
      </x:c>
      <x:c r="F45" s="11" t="n">
        <x:f>SUMIFS('位号明细'!$F$7:$F$148,'位号明细'!$D$7:$D$148,D45)</x:f>
        <x:v>10</x:v>
      </x:c>
      <x:c r="G45" s="11" t="n">
        <x:f>F45*$B$4</x:f>
        <x:v>10</x:v>
      </x:c>
      <x:c r="H45" s="9" t="str">
        <x:v>R110,R114,R203,R204,R301,R302,R403,R603,R604,R811</x:v>
      </x:c>
      <x:c r="I45" s="9" t="str">
        <x:v>核对完整型号与封装；店铺未验真</x:v>
      </x:c>
      <x:c r="J45" s="9" t="str">
        <x:v>YAGEO RC0805FR-0710KL 0805</x:v>
      </x:c>
      <x:c r="K45" s="9" t="str">
        <x:v>https://s.taobao.com/search?q=YAGEO%20RC0805FR-0710KL%200805</x:v>
      </x:c>
      <x:c r="L45" s="9" t="str">
        <x:v>10k FAULT pullup / 10k ST pull-up / 10k reset pullup / 10k BOOT0 default LOW / 10k CS1 safe HIGH / 10k CS2 safe HIGH / 10k detection input / 10k TXD default recessive / 10k / 10k rail discharge; off bound 81.6mV</x:v>
      </x:c>
    </x:row>
    <x:row r="46" ht="42" customHeight="1">
      <x:c r="A46" s="9" t="n">
        <x:v>37</x:v>
      </x:c>
      <x:c r="B46" s="9" t="str">
        <x:v>电阻</x:v>
      </x:c>
      <x:c r="C46" s="9" t="str">
        <x:v>Yageo</x:v>
      </x:c>
      <x:c r="D46" s="10" t="str">
        <x:v>RT0805BRD0733K2L</x:v>
      </x:c>
      <x:c r="E46" s="10" t="str"/>
      <x:c r="F46" s="11" t="n">
        <x:f>SUMIFS('位号明细'!$F$7:$F$148,'位号明细'!$D$7:$D$148,D46)</x:f>
        <x:v>1</x:v>
      </x:c>
      <x:c r="G46" s="11" t="n">
        <x:f>F46*$B$4</x:f>
        <x:v>1</x:v>
      </x:c>
      <x:c r="H46" s="9" t="str">
        <x:v>R111</x:v>
      </x:c>
      <x:c r="I46" s="9" t="str">
        <x:v>核对完整型号与封装；店铺未验真</x:v>
      </x:c>
      <x:c r="J46" s="9" t="str">
        <x:v>Yageo RT0805BRD0733K2L </x:v>
      </x:c>
      <x:c r="K46" s="9" t="str">
        <x:v>https://s.taobao.com/search?q=Yageo%20RT0805BRD0733K2L%20</x:v>
      </x:c>
      <x:c r="L46" s="9" t="str">
        <x:v>33.2k 0.1%</x:v>
      </x:c>
    </x:row>
    <x:row r="47" ht="42" customHeight="1">
      <x:c r="A47" s="9" t="n">
        <x:v>38</x:v>
      </x:c>
      <x:c r="B47" s="9" t="str">
        <x:v>电阻</x:v>
      </x:c>
      <x:c r="C47" s="9" t="str">
        <x:v>YAGEO</x:v>
      </x:c>
      <x:c r="D47" s="10" t="str">
        <x:v>RT0805BRD0749K9L</x:v>
      </x:c>
      <x:c r="E47" s="10" t="str"/>
      <x:c r="F47" s="11" t="n">
        <x:f>SUMIFS('位号明细'!$F$7:$F$148,'位号明细'!$D$7:$D$148,D47)</x:f>
        <x:v>1</x:v>
      </x:c>
      <x:c r="G47" s="11" t="n">
        <x:f>F47*$B$4</x:f>
        <x:v>1</x:v>
      </x:c>
      <x:c r="H47" s="9" t="str">
        <x:v>R113</x:v>
      </x:c>
      <x:c r="I47" s="9" t="str">
        <x:v>核对完整型号与封装；店铺未验真</x:v>
      </x:c>
      <x:c r="J47" s="9" t="str">
        <x:v>YAGEO RT0805BRD0749K9L </x:v>
      </x:c>
      <x:c r="K47" s="9" t="str">
        <x:v>https://s.taobao.com/search?q=YAGEO%20RT0805BRD0749K9L%20</x:v>
      </x:c>
      <x:c r="L47" s="9" t="str">
        <x:v>49.9k 0.1%</x:v>
      </x:c>
    </x:row>
    <x:row r="48" ht="42" customHeight="1">
      <x:c r="A48" s="9" t="n">
        <x:v>39</x:v>
      </x:c>
      <x:c r="B48" s="9" t="str">
        <x:v>电阻</x:v>
      </x:c>
      <x:c r="C48" s="9" t="str">
        <x:v>YAGEO</x:v>
      </x:c>
      <x:c r="D48" s="10" t="str">
        <x:v>RC0805FR-07120RL</x:v>
      </x:c>
      <x:c r="E48" s="12" t="str">
        <x:v>0805</x:v>
      </x:c>
      <x:c r="F48" s="11" t="n">
        <x:f>SUMIFS('位号明细'!$F$7:$F$148,'位号明细'!$D$7:$D$148,D48)</x:f>
        <x:v>2</x:v>
      </x:c>
      <x:c r="G48" s="11" t="n">
        <x:f>F48*$B$4</x:f>
        <x:v>2</x:v>
      </x:c>
      <x:c r="H48" s="9" t="str">
        <x:v>R205,R602</x:v>
      </x:c>
      <x:c r="I48" s="9" t="str">
        <x:v>核对完整型号与封装；店铺未验真</x:v>
      </x:c>
      <x:c r="J48" s="9" t="str">
        <x:v>YAGEO RC0805FR-07120RL 0805</x:v>
      </x:c>
      <x:c r="K48" s="9" t="str">
        <x:v>https://s.taobao.com/search?q=YAGEO%20RC0805FR-07120RL%200805</x:v>
      </x:c>
      <x:c r="L48" s="9" t="str">
        <x:v>120R HSE series / 120R end termination</x:v>
      </x:c>
    </x:row>
    <x:row r="49" ht="42" customHeight="1">
      <x:c r="A49" s="9" t="n">
        <x:v>40</x:v>
      </x:c>
      <x:c r="B49" s="9" t="str">
        <x:v>电阻</x:v>
      </x:c>
      <x:c r="C49" s="9" t="str">
        <x:v>YAGEO</x:v>
      </x:c>
      <x:c r="D49" s="10" t="str">
        <x:v>RC0805FR-071KL</x:v>
      </x:c>
      <x:c r="E49" s="12" t="str">
        <x:v>0805</x:v>
      </x:c>
      <x:c r="F49" s="11" t="n">
        <x:f>SUMIFS('位号明细'!$F$7:$F$148,'位号明细'!$D$7:$D$148,D49)</x:f>
        <x:v>5</x:v>
      </x:c>
      <x:c r="G49" s="11" t="n">
        <x:f>F49*$B$4</x:f>
        <x:v>5</x:v>
      </x:c>
      <x:c r="H49" s="9" t="str">
        <x:v>R206,R803,R804,R807,R808</x:v>
      </x:c>
      <x:c r="I49" s="9" t="str">
        <x:v>核对完整型号与封装；店铺未验真</x:v>
      </x:c>
      <x:c r="J49" s="9" t="str">
        <x:v>YAGEO RC0805FR-071KL 0805</x:v>
      </x:c>
      <x:c r="K49" s="9" t="str">
        <x:v>https://s.taobao.com/search?q=YAGEO%20RC0805FR-071KL%200805</x:v>
      </x:c>
      <x:c r="L49" s="9" t="str">
        <x:v>1k LED current / 1k ADC series / 1k isolate ADC reservoir / 1k current limit</x:v>
      </x:c>
    </x:row>
    <x:row r="50" ht="42" customHeight="1">
      <x:c r="A50" s="9" t="n">
        <x:v>41</x:v>
      </x:c>
      <x:c r="B50" s="9" t="str">
        <x:v>电阻</x:v>
      </x:c>
      <x:c r="C50" s="9" t="str">
        <x:v>YAGEO</x:v>
      </x:c>
      <x:c r="D50" s="10" t="str">
        <x:v>RC0805FR-071K2L</x:v>
      </x:c>
      <x:c r="E50" s="12" t="str">
        <x:v>0805</x:v>
      </x:c>
      <x:c r="F50" s="11" t="n">
        <x:f>SUMIFS('位号明细'!$F$7:$F$148,'位号明细'!$D$7:$D$148,D50)</x:f>
        <x:v>1</x:v>
      </x:c>
      <x:c r="G50" s="11" t="n">
        <x:f>F50*$B$4</x:f>
        <x:v>1</x:v>
      </x:c>
      <x:c r="H50" s="9" t="str">
        <x:v>R207</x:v>
      </x:c>
      <x:c r="I50" s="9" t="str">
        <x:v>核对完整型号与封装；店铺未验真</x:v>
      </x:c>
      <x:c r="J50" s="9" t="str">
        <x:v>YAGEO RC0805FR-071K2L 0805</x:v>
      </x:c>
      <x:c r="K50" s="9" t="str">
        <x:v>https://s.taobao.com/search?q=YAGEO%20RC0805FR-071K2L%200805</x:v>
      </x:c>
      <x:c r="L50" s="9" t="str">
        <x:v>1.2k PWR current</x:v>
      </x:c>
    </x:row>
    <x:row r="51" ht="42" customHeight="1">
      <x:c r="A51" s="9" t="n">
        <x:v>42</x:v>
      </x:c>
      <x:c r="B51" s="9" t="str">
        <x:v>电阻</x:v>
      </x:c>
      <x:c r="C51" s="9" t="str">
        <x:v>YAGEO</x:v>
      </x:c>
      <x:c r="D51" s="10" t="str">
        <x:v>RC0805FR-074K7L</x:v>
      </x:c>
      <x:c r="E51" s="12" t="str">
        <x:v>0805</x:v>
      </x:c>
      <x:c r="F51" s="11" t="n">
        <x:f>SUMIFS('位号明细'!$F$7:$F$148,'位号明细'!$D$7:$D$148,D51)</x:f>
        <x:v>4</x:v>
      </x:c>
      <x:c r="G51" s="11" t="n">
        <x:f>F51*$B$4</x:f>
        <x:v>4</x:v>
      </x:c>
      <x:c r="H51" s="9" t="str">
        <x:v>R303,R304,R701,R702</x:v>
      </x:c>
      <x:c r="I51" s="9" t="str">
        <x:v>核对完整型号与封装；店铺未验真</x:v>
      </x:c>
      <x:c r="J51" s="9" t="str">
        <x:v>YAGEO RC0805FR-074K7L 0805</x:v>
      </x:c>
      <x:c r="K51" s="9" t="str">
        <x:v>https://s.taobao.com/search?q=YAGEO%20RC0805FR-074K7L%200805</x:v>
      </x:c>
      <x:c r="L51" s="9" t="str">
        <x:v>4.7k internal SCL pullup / 4.7k internal SDA pullup / 4.7k externalSCL pullup / 4.7k externalSDA pullup</x:v>
      </x:c>
    </x:row>
    <x:row r="52" ht="42" customHeight="1">
      <x:c r="A52" s="9" t="n">
        <x:v>43</x:v>
      </x:c>
      <x:c r="B52" s="9" t="str">
        <x:v>电阻</x:v>
      </x:c>
      <x:c r="C52" s="9" t="str">
        <x:v>YAGEO</x:v>
      </x:c>
      <x:c r="D52" s="10" t="str">
        <x:v>RC0805FR-075K1L</x:v>
      </x:c>
      <x:c r="E52" s="12" t="str">
        <x:v>0805</x:v>
      </x:c>
      <x:c r="F52" s="11" t="n">
        <x:f>SUMIFS('位号明细'!$F$7:$F$148,'位号明细'!$D$7:$D$148,D52)</x:f>
        <x:v>2</x:v>
      </x:c>
      <x:c r="G52" s="11" t="n">
        <x:f>F52*$B$4</x:f>
        <x:v>2</x:v>
      </x:c>
      <x:c r="H52" s="9" t="str">
        <x:v>R401,R402</x:v>
      </x:c>
      <x:c r="I52" s="9" t="str">
        <x:v>核对完整型号与封装；店铺未验真</x:v>
      </x:c>
      <x:c r="J52" s="9" t="str">
        <x:v>YAGEO RC0805FR-075K1L 0805</x:v>
      </x:c>
      <x:c r="K52" s="9" t="str">
        <x:v>https://s.taobao.com/search?q=YAGEO%20RC0805FR-075K1L%200805</x:v>
      </x:c>
      <x:c r="L52" s="9" t="str">
        <x:v>5.1k CC1 Rd / 5.1k CC2 Rd</x:v>
      </x:c>
    </x:row>
    <x:row r="53" ht="42" customHeight="1">
      <x:c r="A53" s="9" t="n">
        <x:v>44</x:v>
      </x:c>
      <x:c r="B53" s="9" t="str">
        <x:v>电阻</x:v>
      </x:c>
      <x:c r="C53" s="9" t="str">
        <x:v>YAGEO</x:v>
      </x:c>
      <x:c r="D53" s="10" t="str">
        <x:v>RC0805FR-07100KL</x:v>
      </x:c>
      <x:c r="E53" s="12" t="str">
        <x:v>0805</x:v>
      </x:c>
      <x:c r="F53" s="11" t="n">
        <x:f>SUMIFS('位号明细'!$F$7:$F$148,'位号明细'!$D$7:$D$148,D53)</x:f>
        <x:v>1</x:v>
      </x:c>
      <x:c r="G53" s="11" t="n">
        <x:f>F53*$B$4</x:f>
        <x:v>1</x:v>
      </x:c>
      <x:c r="H53" s="9" t="str">
        <x:v>R404</x:v>
      </x:c>
      <x:c r="I53" s="9" t="str">
        <x:v>核对完整型号与封装；店铺未验真</x:v>
      </x:c>
      <x:c r="J53" s="9" t="str">
        <x:v>YAGEO RC0805FR-07100KL 0805</x:v>
      </x:c>
      <x:c r="K53" s="9" t="str">
        <x:v>https://s.taobao.com/search?q=YAGEO%20RC0805FR-07100KL%200805</x:v>
      </x:c>
      <x:c r="L53" s="9" t="str">
        <x:v>100k unplug LOW</x:v>
      </x:c>
    </x:row>
    <x:row r="54" ht="42" customHeight="1">
      <x:c r="A54" s="9" t="n">
        <x:v>45</x:v>
      </x:c>
      <x:c r="B54" s="9" t="str">
        <x:v>电阻</x:v>
      </x:c>
      <x:c r="C54" s="9" t="str">
        <x:v>YAGEO</x:v>
      </x:c>
      <x:c r="D54" s="10" t="str">
        <x:v>RC0805JR-070RL</x:v>
      </x:c>
      <x:c r="E54" s="12" t="str">
        <x:v>0805</x:v>
      </x:c>
      <x:c r="F54" s="11" t="n">
        <x:f>SUMIFS('位号明细'!$F$7:$F$148,'位号明细'!$D$7:$D$148,D54)</x:f>
        <x:v>1</x:v>
      </x:c>
      <x:c r="G54" s="11" t="n">
        <x:f>F54*$B$4</x:f>
        <x:v>1</x:v>
      </x:c>
      <x:c r="H54" s="9" t="str">
        <x:v>R501</x:v>
      </x:c>
      <x:c r="I54" s="9" t="str">
        <x:v>核对完整型号与封装；店铺未验真</x:v>
      </x:c>
      <x:c r="J54" s="9" t="str">
        <x:v>YAGEO RC0805JR-070RL 0805</x:v>
      </x:c>
      <x:c r="K54" s="9" t="str">
        <x:v>https://s.taobao.com/search?q=YAGEO%20RC0805JR-070RL%200805</x:v>
      </x:c>
      <x:c r="L54" s="9" t="str">
        <x:v>0R SD service isolation</x:v>
      </x:c>
    </x:row>
    <x:row r="55" ht="42" customHeight="1">
      <x:c r="A55" s="9" t="n">
        <x:v>46</x:v>
      </x:c>
      <x:c r="B55" s="9" t="str">
        <x:v>电阻</x:v>
      </x:c>
      <x:c r="C55" s="9" t="str">
        <x:v>YAGEO</x:v>
      </x:c>
      <x:c r="D55" s="10" t="str">
        <x:v>RC0805FR-0747KL</x:v>
      </x:c>
      <x:c r="E55" s="12" t="str">
        <x:v>0805</x:v>
      </x:c>
      <x:c r="F55" s="11" t="n">
        <x:f>SUMIFS('位号明细'!$F$7:$F$148,'位号明细'!$D$7:$D$148,D55)</x:f>
        <x:v>5</x:v>
      </x:c>
      <x:c r="G55" s="11" t="n">
        <x:f>F55*$B$4</x:f>
        <x:v>5</x:v>
      </x:c>
      <x:c r="H55" s="9" t="str">
        <x:v>R502,R503,R504,R505,R506</x:v>
      </x:c>
      <x:c r="I55" s="9" t="str">
        <x:v>核对完整型号与封装；店铺未验真</x:v>
      </x:c>
      <x:c r="J55" s="9" t="str">
        <x:v>YAGEO RC0805FR-0747KL 0805</x:v>
      </x:c>
      <x:c r="K55" s="9" t="str">
        <x:v>https://s.taobao.com/search?q=YAGEO%20RC0805FR-0747KL%200805</x:v>
      </x:c>
      <x:c r="L55" s="9" t="str">
        <x:v>47k SD pullup</x:v>
      </x:c>
    </x:row>
    <x:row r="56" ht="42" customHeight="1">
      <x:c r="A56" s="9" t="n">
        <x:v>47</x:v>
      </x:c>
      <x:c r="B56" s="9" t="str">
        <x:v>电阻</x:v>
      </x:c>
      <x:c r="C56" s="9" t="str">
        <x:v>YAGEO</x:v>
      </x:c>
      <x:c r="D56" s="10" t="str">
        <x:v>RT0805BRD07150KL</x:v>
      </x:c>
      <x:c r="E56" s="12" t="str">
        <x:v>0805</x:v>
      </x:c>
      <x:c r="F56" s="11" t="n">
        <x:f>SUMIFS('位号明细'!$F$7:$F$148,'位号明细'!$D$7:$D$148,D56)</x:f>
        <x:v>1</x:v>
      </x:c>
      <x:c r="G56" s="11" t="n">
        <x:f>F56*$B$4</x:f>
        <x:v>1</x:v>
      </x:c>
      <x:c r="H56" s="9" t="str">
        <x:v>R801</x:v>
      </x:c>
      <x:c r="I56" s="9" t="str">
        <x:v>核对完整型号与封装；店铺未验真</x:v>
      </x:c>
      <x:c r="J56" s="9" t="str">
        <x:v>YAGEO RT0805BRD07150KL 0805</x:v>
      </x:c>
      <x:c r="K56" s="9" t="str">
        <x:v>https://s.taobao.com/search?q=YAGEO%20RT0805BRD07150KL%200805</x:v>
      </x:c>
      <x:c r="L56" s="9" t="str">
        <x:v>150k 0.1%</x:v>
      </x:c>
    </x:row>
    <x:row r="57" ht="42" customHeight="1">
      <x:c r="A57" s="9" t="n">
        <x:v>48</x:v>
      </x:c>
      <x:c r="B57" s="9" t="str">
        <x:v>电阻</x:v>
      </x:c>
      <x:c r="C57" s="9" t="str">
        <x:v>YAGEO</x:v>
      </x:c>
      <x:c r="D57" s="10" t="str">
        <x:v>RC0805FR-071M3L</x:v>
      </x:c>
      <x:c r="E57" s="12" t="str">
        <x:v>0805</x:v>
      </x:c>
      <x:c r="F57" s="11" t="n">
        <x:f>SUMIFS('位号明细'!$F$7:$F$148,'位号明细'!$D$7:$D$148,D57)</x:f>
        <x:v>2</x:v>
      </x:c>
      <x:c r="G57" s="11" t="n">
        <x:f>F57*$B$4</x:f>
        <x:v>2</x:v>
      </x:c>
      <x:c r="H57" s="9" t="str">
        <x:v>R809,R810</x:v>
      </x:c>
      <x:c r="I57" s="9" t="str">
        <x:v>核对完整型号与封装；店铺未验真</x:v>
      </x:c>
      <x:c r="J57" s="9" t="str">
        <x:v>YAGEO RC0805FR-071M3L 0805</x:v>
      </x:c>
      <x:c r="K57" s="9" t="str">
        <x:v>https://s.taobao.com/search?q=YAGEO%20RC0805FR-071M3L%200805</x:v>
      </x:c>
      <x:c r="L57" s="9" t="str">
        <x:v>1.3M 1% discharge/IOFF bound</x:v>
      </x:c>
    </x:row>
    <x:row r="58" ht="42" customHeight="1">
      <x:c r="A58" s="9" t="n">
        <x:v>49</x:v>
      </x:c>
      <x:c r="B58" s="9" t="str">
        <x:v>芯片</x:v>
      </x:c>
      <x:c r="C58" s="9" t="str">
        <x:v>TI</x:v>
      </x:c>
      <x:c r="D58" s="10" t="str">
        <x:v>TPS54360BDDAR</x:v>
      </x:c>
      <x:c r="E58" s="10" t="str">
        <x:v>DDA0008B HSOIC8 EP</x:v>
      </x:c>
      <x:c r="F58" s="11" t="n">
        <x:f>SUMIFS('位号明细'!$F$7:$F$148,'位号明细'!$D$7:$D$148,D58)</x:f>
        <x:v>1</x:v>
      </x:c>
      <x:c r="G58" s="11" t="n">
        <x:f>F58*$B$4</x:f>
        <x:v>1</x:v>
      </x:c>
      <x:c r="H58" s="9" t="str">
        <x:v>U101</x:v>
      </x:c>
      <x:c r="I58" s="9" t="str">
        <x:v>核对完整型号与封装；店铺未验真</x:v>
      </x:c>
      <x:c r="J58" s="9" t="str">
        <x:v>TI TPS54360BDDAR DDA0008B HSOIC8 EP</x:v>
      </x:c>
      <x:c r="K58" s="9" t="str">
        <x:v>https://s.taobao.com/search?q=TI%20TPS54360BDDAR%20DDA0008B%20HSOIC8%20EP</x:v>
      </x:c>
      <x:c r="L58" s="9" t="str">
        <x:v>TPS54360BDDAR</x:v>
      </x:c>
    </x:row>
    <x:row r="59" ht="42" customHeight="1">
      <x:c r="A59" s="9" t="n">
        <x:v>50</x:v>
      </x:c>
      <x:c r="B59" s="9" t="str">
        <x:v>芯片</x:v>
      </x:c>
      <x:c r="C59" s="9" t="str">
        <x:v>Diodes</x:v>
      </x:c>
      <x:c r="D59" s="10" t="str">
        <x:v>AP63203WU-7</x:v>
      </x:c>
      <x:c r="E59" s="10" t="str">
        <x:v>TSOT26</x:v>
      </x:c>
      <x:c r="F59" s="11" t="n">
        <x:f>SUMIFS('位号明细'!$F$7:$F$148,'位号明细'!$D$7:$D$148,D59)</x:f>
        <x:v>1</x:v>
      </x:c>
      <x:c r="G59" s="11" t="n">
        <x:f>F59*$B$4</x:f>
        <x:v>1</x:v>
      </x:c>
      <x:c r="H59" s="9" t="str">
        <x:v>U102</x:v>
      </x:c>
      <x:c r="I59" s="9" t="str">
        <x:v>核对完整型号与封装；店铺未验真</x:v>
      </x:c>
      <x:c r="J59" s="9" t="str">
        <x:v>Diodes AP63203WU-7 TSOT26</x:v>
      </x:c>
      <x:c r="K59" s="9" t="str">
        <x:v>https://s.taobao.com/search?q=Diodes%20AP63203WU-7%20TSOT26</x:v>
      </x:c>
      <x:c r="L59" s="9" t="str">
        <x:v>AP63203WU-7</x:v>
      </x:c>
    </x:row>
    <x:row r="60" ht="42" customHeight="1">
      <x:c r="A60" s="9" t="n">
        <x:v>51</x:v>
      </x:c>
      <x:c r="B60" s="9" t="str">
        <x:v>芯片</x:v>
      </x:c>
      <x:c r="C60" s="9" t="str">
        <x:v>TI</x:v>
      </x:c>
      <x:c r="D60" s="10" t="str">
        <x:v>TPS7A2033PDBVR</x:v>
      </x:c>
      <x:c r="E60" s="10" t="str">
        <x:v>DBV5 SOT23-5</x:v>
      </x:c>
      <x:c r="F60" s="11" t="n">
        <x:f>SUMIFS('位号明细'!$F$7:$F$148,'位号明细'!$D$7:$D$148,D60)</x:f>
        <x:v>1</x:v>
      </x:c>
      <x:c r="G60" s="11" t="n">
        <x:f>F60*$B$4</x:f>
        <x:v>1</x:v>
      </x:c>
      <x:c r="H60" s="9" t="str">
        <x:v>U103</x:v>
      </x:c>
      <x:c r="I60" s="9" t="str">
        <x:v>核对完整型号与封装；店铺未验真</x:v>
      </x:c>
      <x:c r="J60" s="9" t="str">
        <x:v>TI TPS7A2033PDBVR DBV5 SOT23-5</x:v>
      </x:c>
      <x:c r="K60" s="9" t="str">
        <x:v>https://s.taobao.com/search?q=TI%20TPS7A2033PDBVR%20DBV5%20SOT23-5</x:v>
      </x:c>
      <x:c r="L60" s="9" t="str">
        <x:v>TPS7A2033PDBVR</x:v>
      </x:c>
    </x:row>
    <x:row r="61" ht="42" customHeight="1">
      <x:c r="A61" s="9" t="n">
        <x:v>52</x:v>
      </x:c>
      <x:c r="B61" s="9" t="str">
        <x:v>芯片</x:v>
      </x:c>
      <x:c r="C61" s="9" t="str">
        <x:v>TI</x:v>
      </x:c>
      <x:c r="D61" s="10" t="str">
        <x:v>TPS2553DBVR</x:v>
      </x:c>
      <x:c r="E61" s="10" t="str">
        <x:v>DBV6 SOT23-6</x:v>
      </x:c>
      <x:c r="F61" s="11" t="n">
        <x:f>SUMIFS('位号明细'!$F$7:$F$148,'位号明细'!$D$7:$D$148,D61)</x:f>
        <x:v>2</x:v>
      </x:c>
      <x:c r="G61" s="11" t="n">
        <x:f>F61*$B$4</x:f>
        <x:v>2</x:v>
      </x:c>
      <x:c r="H61" s="9" t="str">
        <x:v>U104,U106</x:v>
      </x:c>
      <x:c r="I61" s="9" t="str">
        <x:v>候选字段待核对：U106</x:v>
      </x:c>
      <x:c r="J61" s="9" t="str">
        <x:v>TI TPS2553DBVR DBV6 SOT23-6</x:v>
      </x:c>
      <x:c r="K61" s="9" t="str">
        <x:v>https://s.taobao.com/search?q=TI%20TPS2553DBVR%20DBV6%20SOT23-6</x:v>
      </x:c>
      <x:c r="L61" s="9" t="str">
        <x:v>TPS2553DBVR</x:v>
      </x:c>
    </x:row>
    <x:row r="62" ht="42" customHeight="1">
      <x:c r="A62" s="9" t="n">
        <x:v>53</x:v>
      </x:c>
      <x:c r="B62" s="9" t="str">
        <x:v>芯片</x:v>
      </x:c>
      <x:c r="C62" s="9" t="str">
        <x:v>Texas Instruments</x:v>
      </x:c>
      <x:c r="D62" s="10" t="str">
        <x:v>TPS2116DRLR</x:v>
      </x:c>
      <x:c r="E62" s="10" t="str"/>
      <x:c r="F62" s="11" t="n">
        <x:f>SUMIFS('位号明细'!$F$7:$F$148,'位号明细'!$D$7:$D$148,D62)</x:f>
        <x:v>1</x:v>
      </x:c>
      <x:c r="G62" s="11" t="n">
        <x:f>F62*$B$4</x:f>
        <x:v>1</x:v>
      </x:c>
      <x:c r="H62" s="9" t="str">
        <x:v>U105</x:v>
      </x:c>
      <x:c r="I62" s="9" t="str">
        <x:v>候选字段待核对：U105</x:v>
      </x:c>
      <x:c r="J62" s="9" t="str">
        <x:v>Texas Instruments TPS2116DRLR </x:v>
      </x:c>
      <x:c r="K62" s="9" t="str">
        <x:v>https://s.taobao.com/search?q=Texas%20Instruments%20TPS2116DRLR%20</x:v>
      </x:c>
      <x:c r="L62" s="9" t="str">
        <x:v>TPS2116DRLR</x:v>
      </x:c>
    </x:row>
    <x:row r="63" ht="42" customHeight="1">
      <x:c r="A63" s="9" t="n">
        <x:v>54</x:v>
      </x:c>
      <x:c r="B63" s="9" t="str">
        <x:v>芯片</x:v>
      </x:c>
      <x:c r="C63" s="9" t="str">
        <x:v>ST</x:v>
      </x:c>
      <x:c r="D63" s="10" t="str">
        <x:v>STM32H743VIT6</x:v>
      </x:c>
      <x:c r="E63" s="10" t="str">
        <x:v>LQFP100 14x14 P0.5</x:v>
      </x:c>
      <x:c r="F63" s="11" t="n">
        <x:f>SUMIFS('位号明细'!$F$7:$F$148,'位号明细'!$D$7:$D$148,D63)</x:f>
        <x:v>1</x:v>
      </x:c>
      <x:c r="G63" s="11" t="n">
        <x:f>F63*$B$4</x:f>
        <x:v>1</x:v>
      </x:c>
      <x:c r="H63" s="9" t="str">
        <x:v>U201</x:v>
      </x:c>
      <x:c r="I63" s="9" t="str">
        <x:v>核对完整型号与封装；店铺未验真</x:v>
      </x:c>
      <x:c r="J63" s="9" t="str">
        <x:v>ST STM32H743VIT6 LQFP100 14x14 P0.5</x:v>
      </x:c>
      <x:c r="K63" s="9" t="str">
        <x:v>https://s.taobao.com/search?q=ST%20STM32H743VIT6%20LQFP100%2014x14%20P0.5</x:v>
      </x:c>
      <x:c r="L63" s="9" t="str">
        <x:v>STM32H743VIT6</x:v>
      </x:c>
    </x:row>
    <x:row r="64" ht="42" customHeight="1">
      <x:c r="A64" s="9" t="n">
        <x:v>55</x:v>
      </x:c>
      <x:c r="B64" s="9" t="str">
        <x:v>芯片</x:v>
      </x:c>
      <x:c r="C64" s="9" t="str">
        <x:v>Bosch</x:v>
      </x:c>
      <x:c r="D64" s="10" t="str">
        <x:v>BMI088</x:v>
      </x:c>
      <x:c r="E64" s="10" t="str">
        <x:v>LGA16 3x4.5</x:v>
      </x:c>
      <x:c r="F64" s="11" t="n">
        <x:f>SUMIFS('位号明细'!$F$7:$F$148,'位号明细'!$D$7:$D$148,D64)</x:f>
        <x:v>1</x:v>
      </x:c>
      <x:c r="G64" s="11" t="n">
        <x:f>F64*$B$4</x:f>
        <x:v>1</x:v>
      </x:c>
      <x:c r="H64" s="9" t="str">
        <x:v>U301</x:v>
      </x:c>
      <x:c r="I64" s="9" t="str">
        <x:v>核对完整型号与封装；店铺未验真</x:v>
      </x:c>
      <x:c r="J64" s="9" t="str">
        <x:v>Bosch BMI088 LGA16 3x4.5</x:v>
      </x:c>
      <x:c r="K64" s="9" t="str">
        <x:v>https://s.taobao.com/search?q=Bosch%20BMI088%20LGA16%203x4.5</x:v>
      </x:c>
      <x:c r="L64" s="9" t="str">
        <x:v>BMI088</x:v>
      </x:c>
    </x:row>
    <x:row r="65" ht="42" customHeight="1">
      <x:c r="A65" s="9" t="n">
        <x:v>56</x:v>
      </x:c>
      <x:c r="B65" s="9" t="str">
        <x:v>芯片</x:v>
      </x:c>
      <x:c r="C65" s="9" t="str">
        <x:v>Goertek</x:v>
      </x:c>
      <x:c r="D65" s="10" t="str">
        <x:v>SPL06-001</x:v>
      </x:c>
      <x:c r="E65" s="10" t="str">
        <x:v>LGA8 2x2.5</x:v>
      </x:c>
      <x:c r="F65" s="11" t="n">
        <x:f>SUMIFS('位号明细'!$F$7:$F$148,'位号明细'!$D$7:$D$148,D65)</x:f>
        <x:v>1</x:v>
      </x:c>
      <x:c r="G65" s="11" t="n">
        <x:f>F65*$B$4</x:f>
        <x:v>1</x:v>
      </x:c>
      <x:c r="H65" s="9" t="str">
        <x:v>U302</x:v>
      </x:c>
      <x:c r="I65" s="9" t="str">
        <x:v>核对完整型号与封装；店铺未验真</x:v>
      </x:c>
      <x:c r="J65" s="9" t="str">
        <x:v>Goertek SPL06-001 LGA8 2x2.5</x:v>
      </x:c>
      <x:c r="K65" s="9" t="str">
        <x:v>https://s.taobao.com/search?q=Goertek%20SPL06-001%20LGA8%202x2.5</x:v>
      </x:c>
      <x:c r="L65" s="9" t="str">
        <x:v>SPL06-001</x:v>
      </x:c>
    </x:row>
    <x:row r="66" ht="42" customHeight="1">
      <x:c r="A66" s="9" t="n">
        <x:v>57</x:v>
      </x:c>
      <x:c r="B66" s="9" t="str">
        <x:v>芯片</x:v>
      </x:c>
      <x:c r="C66" s="9" t="str">
        <x:v>TI</x:v>
      </x:c>
      <x:c r="D66" s="10" t="str">
        <x:v>TPD4E1U06DBVR</x:v>
      </x:c>
      <x:c r="E66" s="10" t="str">
        <x:v>DBV SOT-23-6</x:v>
      </x:c>
      <x:c r="F66" s="11" t="n">
        <x:f>SUMIFS('位号明细'!$F$7:$F$148,'位号明细'!$D$7:$D$148,D66)</x:f>
        <x:v>1</x:v>
      </x:c>
      <x:c r="G66" s="11" t="n">
        <x:f>F66*$B$4</x:f>
        <x:v>1</x:v>
      </x:c>
      <x:c r="H66" s="9" t="str">
        <x:v>U401</x:v>
      </x:c>
      <x:c r="I66" s="9" t="str">
        <x:v>核对完整型号与封装；店铺未验真</x:v>
      </x:c>
      <x:c r="J66" s="9" t="str">
        <x:v>TI TPD4E1U06DBVR DBV SOT-23-6</x:v>
      </x:c>
      <x:c r="K66" s="9" t="str">
        <x:v>https://s.taobao.com/search?q=TI%20TPD4E1U06DBVR%20DBV%20SOT-23-6</x:v>
      </x:c>
      <x:c r="L66" s="9" t="str">
        <x:v>TPD4E1U06DBVR</x:v>
      </x:c>
    </x:row>
    <x:row r="67" ht="42" customHeight="1">
      <x:c r="A67" s="9" t="n">
        <x:v>58</x:v>
      </x:c>
      <x:c r="B67" s="9" t="str">
        <x:v>芯片</x:v>
      </x:c>
      <x:c r="C67" s="9" t="str">
        <x:v>TI</x:v>
      </x:c>
      <x:c r="D67" s="10" t="str">
        <x:v>SN74LVC1G17DBVR</x:v>
      </x:c>
      <x:c r="E67" s="10" t="str">
        <x:v>DBV5 SOT23-5</x:v>
      </x:c>
      <x:c r="F67" s="11" t="n">
        <x:f>SUMIFS('位号明细'!$F$7:$F$148,'位号明细'!$D$7:$D$148,D67)</x:f>
        <x:v>1</x:v>
      </x:c>
      <x:c r="G67" s="11" t="n">
        <x:f>F67*$B$4</x:f>
        <x:v>1</x:v>
      </x:c>
      <x:c r="H67" s="9" t="str">
        <x:v>U402</x:v>
      </x:c>
      <x:c r="I67" s="9" t="str">
        <x:v>核对完整型号与封装；店铺未验真</x:v>
      </x:c>
      <x:c r="J67" s="9" t="str">
        <x:v>TI SN74LVC1G17DBVR DBV5 SOT23-5</x:v>
      </x:c>
      <x:c r="K67" s="9" t="str">
        <x:v>https://s.taobao.com/search?q=TI%20SN74LVC1G17DBVR%20DBV5%20SOT23-5</x:v>
      </x:c>
      <x:c r="L67" s="9" t="str">
        <x:v>SN74LVC1G17DBVR</x:v>
      </x:c>
    </x:row>
    <x:row r="68" ht="42" customHeight="1">
      <x:c r="A68" s="9" t="n">
        <x:v>59</x:v>
      </x:c>
      <x:c r="B68" s="9" t="str">
        <x:v>芯片</x:v>
      </x:c>
      <x:c r="C68" s="9" t="str">
        <x:v>Texas Instruments</x:v>
      </x:c>
      <x:c r="D68" s="10" t="str">
        <x:v>TPD2E2U06QDBZRQ1</x:v>
      </x:c>
      <x:c r="E68" s="10" t="str">
        <x:v>DBZ / SOT-23-3</x:v>
      </x:c>
      <x:c r="F68" s="11" t="n">
        <x:f>SUMIFS('位号明细'!$F$7:$F$148,'位号明细'!$D$7:$D$148,D68)</x:f>
        <x:v>1</x:v>
      </x:c>
      <x:c r="G68" s="11" t="n">
        <x:f>F68*$B$4</x:f>
        <x:v>1</x:v>
      </x:c>
      <x:c r="H68" s="9" t="str">
        <x:v>U403</x:v>
      </x:c>
      <x:c r="I68" s="9" t="str">
        <x:v>核对完整型号与封装；店铺未验真</x:v>
      </x:c>
      <x:c r="J68" s="9" t="str">
        <x:v>Texas Instruments TPD2E2U06QDBZRQ1 DBZ / SOT-23-3</x:v>
      </x:c>
      <x:c r="K68" s="9" t="str">
        <x:v>https://s.taobao.com/search?q=Texas%20Instruments%20TPD2E2U06QDBZRQ1%20DBZ%20/%20SOT-23-3</x:v>
      </x:c>
      <x:c r="L68" s="9" t="str">
        <x:v>TPD2E2U06QDBZRQ1</x:v>
      </x:c>
    </x:row>
    <x:row r="69" ht="42" customHeight="1">
      <x:c r="A69" s="9" t="n">
        <x:v>60</x:v>
      </x:c>
      <x:c r="B69" s="9" t="str">
        <x:v>芯片</x:v>
      </x:c>
      <x:c r="C69" s="9" t="str">
        <x:v>Texas Instruments</x:v>
      </x:c>
      <x:c r="D69" s="10" t="str">
        <x:v>TCAN3414DR</x:v>
      </x:c>
      <x:c r="E69" s="10" t="str">
        <x:v>TI D0008A SOIC-8</x:v>
      </x:c>
      <x:c r="F69" s="11" t="n">
        <x:f>SUMIFS('位号明细'!$F$7:$F$148,'位号明细'!$D$7:$D$148,D69)</x:f>
        <x:v>1</x:v>
      </x:c>
      <x:c r="G69" s="11" t="n">
        <x:f>F69*$B$4</x:f>
        <x:v>1</x:v>
      </x:c>
      <x:c r="H69" s="9" t="str">
        <x:v>U601</x:v>
      </x:c>
      <x:c r="I69" s="9" t="str">
        <x:v>核对完整型号与封装；店铺未验真</x:v>
      </x:c>
      <x:c r="J69" s="9" t="str">
        <x:v>Texas Instruments TCAN3414DR TI D0008A SOIC-8</x:v>
      </x:c>
      <x:c r="K69" s="9" t="str">
        <x:v>https://s.taobao.com/search?q=Texas%20Instruments%20TCAN3414DR%20TI%20D0008A%20SOIC-8</x:v>
      </x:c>
      <x:c r="L69" s="9" t="str">
        <x:v>TCAN3414DR</x:v>
      </x:c>
    </x:row>
    <x:row r="70" ht="42" customHeight="1">
      <x:c r="A70" s="9" t="n">
        <x:v>61</x:v>
      </x:c>
      <x:c r="B70" s="9" t="str">
        <x:v>芯片</x:v>
      </x:c>
      <x:c r="C70" s="9" t="str">
        <x:v>TI</x:v>
      </x:c>
      <x:c r="D70" s="10" t="str">
        <x:v>TMUX1511PWR</x:v>
      </x:c>
      <x:c r="E70" s="10" t="str">
        <x:v>PW14 TSSOP14 0.65mm visible leads</x:v>
      </x:c>
      <x:c r="F70" s="11" t="n">
        <x:f>SUMIFS('位号明细'!$F$7:$F$148,'位号明细'!$D$7:$D$148,D70)</x:f>
        <x:v>1</x:v>
      </x:c>
      <x:c r="G70" s="11" t="n">
        <x:f>F70*$B$4</x:f>
        <x:v>1</x:v>
      </x:c>
      <x:c r="H70" s="9" t="str">
        <x:v>U801</x:v>
      </x:c>
      <x:c r="I70" s="9" t="str">
        <x:v>核对完整型号与封装；店铺未验真</x:v>
      </x:c>
      <x:c r="J70" s="9" t="str">
        <x:v>TI TMUX1511PWR PW14 TSSOP14 0.65mm visible leads</x:v>
      </x:c>
      <x:c r="K70" s="9" t="str">
        <x:v>https://s.taobao.com/search?q=TI%20TMUX1511PWR%20PW14%20TSSOP14%200.65mm%20visible%20leads</x:v>
      </x:c>
      <x:c r="L70" s="9" t="str">
        <x:v>TMUX1511PWR</x:v>
      </x:c>
    </x:row>
    <x:row r="71" ht="42" customHeight="1">
      <x:c r="A71" s="9" t="n">
        <x:v>62</x:v>
      </x:c>
      <x:c r="B71" s="9" t="str">
        <x:v>晶振</x:v>
      </x:c>
      <x:c r="C71" s="9" t="str">
        <x:v>TAITIEN</x:v>
      </x:c>
      <x:c r="D71" s="10" t="str">
        <x:v>XJHCELNANF-8M</x:v>
      </x:c>
      <x:c r="E71" s="10" t="str">
        <x:v>HC49-class 2SMD 12.5x4.5x4</x:v>
      </x:c>
      <x:c r="F71" s="11" t="n">
        <x:f>SUMIFS('位号明细'!$F$7:$F$148,'位号明细'!$D$7:$D$148,D71)</x:f>
        <x:v>1</x:v>
      </x:c>
      <x:c r="G71" s="11" t="n">
        <x:f>F71*$B$4</x:f>
        <x:v>1</x:v>
      </x:c>
      <x:c r="H71" s="9" t="str">
        <x:v>Y201</x:v>
      </x:c>
      <x:c r="I71" s="9" t="str">
        <x:v>核对完整型号与封装；店铺未验真</x:v>
      </x:c>
      <x:c r="J71" s="9" t="str">
        <x:v>TAITIEN XJHCELNANF-8M HC49-class 2SMD 12.5x4.5x4</x:v>
      </x:c>
      <x:c r="K71" s="9" t="str">
        <x:v>https://s.taobao.com/search?q=TAITIEN%20XJHCELNANF-8M%20HC49-class%202SMD%2012.5x4.5x4</x:v>
      </x:c>
      <x:c r="L71" s="9" t="str">
        <x:v>8.000MHz /CL20pF</x:v>
      </x:c>
    </x:row>
  </x:sheetData>
  <x:conditionalFormatting sqref="I10:I71">
    <x:cfRule type="containsText" dxfId="0" priority="1" operator="containsText" text="候选"/>
  </x:conditionalFormatting>
  <x:dataValidations count="1">
    <x:dataValidation type="whole" operator="between" sqref="B4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c7e8ad090ec4aa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20" hidden="0" customWidth="1"/>
    <x:col min="4" max="4" width="28" hidden="0" customWidth="1"/>
    <x:col min="5" max="5" width="33" hidden="0" customWidth="1"/>
    <x:col min="6" max="6" width="10" hidden="0" customWidth="1"/>
    <x:col min="7" max="7" width="10" hidden="0" customWidth="1"/>
    <x:col min="8" max="8" width="45" hidden="0" customWidth="1"/>
    <x:col min="9" max="9" width="45" hidden="0" customWidth="1"/>
    <x:col min="10" max="10" width="40" hidden="0" customWidth="1"/>
    <x:col min="11" max="11" width="55" hidden="0" customWidth="1"/>
    <x:col min="12" max="12" width="55" hidden="0" customWidth="1"/>
    <x:col min="13" max="13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当前六层工程：142 个采购位号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 t="str">
        <x:v>来源：当前六层V4 fresh网表；封装补充字段与同MPN父级BOM逐项核对。商家、现货和价格未核验。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0" customHeight="1">
      <x:c r="A6" s="8" t="str">
        <x:v>位号</x:v>
      </x:c>
      <x:c r="B6" s="8" t="str">
        <x:v>当前参数</x:v>
      </x:c>
      <x:c r="C6" s="8" t="str">
        <x:v>厂家</x:v>
      </x:c>
      <x:c r="D6" s="8" t="str">
        <x:v>完整MPN</x:v>
      </x:c>
      <x:c r="E6" s="8" t="str">
        <x:v>封装</x:v>
      </x:c>
      <x:c r="F6" s="8" t="str">
        <x:v>每板数量</x:v>
      </x:c>
      <x:c r="G6" s="8" t="str">
        <x:v>面别</x:v>
      </x:c>
      <x:c r="H6" s="8" t="str">
        <x:v>原始选型状态</x:v>
      </x:c>
      <x:c r="I6" s="8" t="str">
        <x:v>原始验证状态</x:v>
      </x:c>
      <x:c r="J6" s="8" t="str">
        <x:v>规格要求</x:v>
      </x:c>
      <x:c r="K6" s="8" t="str">
        <x:v>PCB封装标识</x:v>
      </x:c>
      <x:c r="L6" s="8" t="str">
        <x:v>淘宝搜索链接</x:v>
      </x:c>
      <x:c r="M6" s="8" t="str">
        <x:v>原厂资料</x:v>
      </x:c>
    </x:row>
    <x:row r="7" ht="48" customHeight="1">
      <x:c r="A7" s="9" t="str">
        <x:v>C101</x:v>
      </x:c>
      <x:c r="B7" s="9" t="str">
        <x:v>10u /50V X7R</x:v>
      </x:c>
      <x:c r="C7" s="9" t="str">
        <x:v>KEMET</x:v>
      </x:c>
      <x:c r="D7" s="10" t="str">
        <x:v>C1210C106K5RACTU</x:v>
      </x:c>
      <x:c r="E7" s="12" t="str">
        <x:v>1210</x:v>
      </x:c>
      <x:c r="F7" s="11" t="n">
        <x:v>1</x:v>
      </x:c>
      <x:c r="G7" s="9" t="str">
        <x:v>背面</x:v>
      </x:c>
      <x:c r="H7" s="9" t="str">
        <x:v>SPECIFICATION_FROZEN_PREFERRED_BOM</x:v>
      </x:c>
      <x:c r="I7" s="9" t="str"/>
      <x:c r="J7" s="9" t="str">
        <x:v>精度：10%；耐压：&gt;=50V；介质：X7R</x:v>
      </x:c>
      <x:c r="K7" s="9" t="str">
        <x:v>X100_Physical:Official_Capacitor_SMD_C_1210_3225Metric</x:v>
      </x:c>
      <x:c r="L7" s="9" t="str">
        <x:v>https://s.taobao.com/search?q=KEMET%20C1210C106K5RACTU%201210</x:v>
      </x:c>
      <x:c r="M7" s="9" t="str">
        <x:v>https://www.yageogroup.com/component-documentation/download/specsheet/C1210C106K5RACTU</x:v>
      </x:c>
    </x:row>
    <x:row r="8" ht="48" customHeight="1">
      <x:c r="A8" s="9" t="str">
        <x:v>C102</x:v>
      </x:c>
      <x:c r="B8" s="9" t="str">
        <x:v>10u /50V X7R</x:v>
      </x:c>
      <x:c r="C8" s="9" t="str">
        <x:v>KEMET</x:v>
      </x:c>
      <x:c r="D8" s="10" t="str">
        <x:v>C1210C106K5RACTU</x:v>
      </x:c>
      <x:c r="E8" s="12" t="str">
        <x:v>1210</x:v>
      </x:c>
      <x:c r="F8" s="11" t="n">
        <x:v>1</x:v>
      </x:c>
      <x:c r="G8" s="9" t="str">
        <x:v>背面</x:v>
      </x:c>
      <x:c r="H8" s="9" t="str">
        <x:v>SPECIFICATION_FROZEN_PREFERRED_BOM</x:v>
      </x:c>
      <x:c r="I8" s="9" t="str"/>
      <x:c r="J8" s="9" t="str">
        <x:v>精度：10%；耐压：&gt;=50V；介质：X7R</x:v>
      </x:c>
      <x:c r="K8" s="9" t="str">
        <x:v>X100_Physical:Official_Capacitor_SMD_C_1210_3225Metric</x:v>
      </x:c>
      <x:c r="L8" s="9" t="str">
        <x:v>https://s.taobao.com/search?q=KEMET%20C1210C106K5RACTU%201210</x:v>
      </x:c>
      <x:c r="M8" s="9" t="str">
        <x:v>https://www.yageogroup.com/component-documentation/download/specsheet/C1210C106K5RACTU</x:v>
      </x:c>
    </x:row>
    <x:row r="9" ht="48" customHeight="1">
      <x:c r="A9" s="9" t="str">
        <x:v>C103</x:v>
      </x:c>
      <x:c r="B9" s="9" t="str">
        <x:v>10u /50V X7R</x:v>
      </x:c>
      <x:c r="C9" s="9" t="str">
        <x:v>KEMET</x:v>
      </x:c>
      <x:c r="D9" s="10" t="str">
        <x:v>C1210C106K5RACTU</x:v>
      </x:c>
      <x:c r="E9" s="12" t="str">
        <x:v>1210</x:v>
      </x:c>
      <x:c r="F9" s="11" t="n">
        <x:v>1</x:v>
      </x:c>
      <x:c r="G9" s="9" t="str">
        <x:v>背面</x:v>
      </x:c>
      <x:c r="H9" s="9" t="str">
        <x:v>SPECIFICATION_FROZEN_PREFERRED_BOM</x:v>
      </x:c>
      <x:c r="I9" s="9" t="str"/>
      <x:c r="J9" s="9" t="str">
        <x:v>精度：10%；耐压：&gt;=50V；介质：X7R</x:v>
      </x:c>
      <x:c r="K9" s="9" t="str">
        <x:v>X100_Physical:Official_Capacitor_SMD_C_1210_3225Metric</x:v>
      </x:c>
      <x:c r="L9" s="9" t="str">
        <x:v>https://s.taobao.com/search?q=KEMET%20C1210C106K5RACTU%201210</x:v>
      </x:c>
      <x:c r="M9" s="9" t="str">
        <x:v>https://www.yageogroup.com/component-documentation/download/specsheet/C1210C106K5RACTU</x:v>
      </x:c>
    </x:row>
    <x:row r="10" ht="48" customHeight="1">
      <x:c r="A10" s="9" t="str">
        <x:v>C104</x:v>
      </x:c>
      <x:c r="B10" s="9" t="str">
        <x:v>10u /50V X7R</x:v>
      </x:c>
      <x:c r="C10" s="9" t="str">
        <x:v>KEMET</x:v>
      </x:c>
      <x:c r="D10" s="10" t="str">
        <x:v>C1210C106K5RACTU</x:v>
      </x:c>
      <x:c r="E10" s="12" t="str">
        <x:v>1210</x:v>
      </x:c>
      <x:c r="F10" s="11" t="n">
        <x:v>1</x:v>
      </x:c>
      <x:c r="G10" s="9" t="str">
        <x:v>背面</x:v>
      </x:c>
      <x:c r="H10" s="9" t="str">
        <x:v>SPECIFICATION_FROZEN_PREFERRED_BOM</x:v>
      </x:c>
      <x:c r="I10" s="9" t="str"/>
      <x:c r="J10" s="9" t="str">
        <x:v>精度：10%；耐压：&gt;=50V；介质：X7R</x:v>
      </x:c>
      <x:c r="K10" s="9" t="str">
        <x:v>X100_Physical:Official_Capacitor_SMD_C_1210_3225Metric</x:v>
      </x:c>
      <x:c r="L10" s="9" t="str">
        <x:v>https://s.taobao.com/search?q=KEMET%20C1210C106K5RACTU%201210</x:v>
      </x:c>
      <x:c r="M10" s="9" t="str">
        <x:v>https://www.yageogroup.com/component-documentation/download/specsheet/C1210C106K5RACTU</x:v>
      </x:c>
    </x:row>
    <x:row r="11" ht="48" customHeight="1">
      <x:c r="A11" s="9" t="str">
        <x:v>C105</x:v>
      </x:c>
      <x:c r="B11" s="9" t="str">
        <x:v>39u /50V +VIN</x:v>
      </x:c>
      <x:c r="C11" s="9" t="str">
        <x:v>Panasonic</x:v>
      </x:c>
      <x:c r="D11" s="10" t="str">
        <x:v>50SVPF39M</x:v>
      </x:c>
      <x:c r="E11" s="10" t="str">
        <x:v>OS-CON E12 diameter8 height11.9</x:v>
      </x:c>
      <x:c r="F11" s="11" t="n">
        <x:v>1</x:v>
      </x:c>
      <x:c r="G11" s="9" t="str">
        <x:v>正面</x:v>
      </x:c>
      <x:c r="H11" s="9" t="str">
        <x:v>EXACT_MPN_FROZEN</x:v>
      </x:c>
      <x:c r="I11" s="9" t="str"/>
      <x:c r="J11" s="9" t="str"/>
      <x:c r="K11" s="9" t="str">
        <x:v>X100_Physical:Panasonic_OSCON_E12</x:v>
      </x:c>
      <x:c r="L11" s="9" t="str">
        <x:v>https://s.taobao.com/search?q=Panasonic%2050SVPF39M%20OS-CON%20E12%20diameter8%20height11.9</x:v>
      </x:c>
      <x:c r="M11" s="9" t="str">
        <x:v>https://industrial.panasonic.com/ww/products/pt/os-con/models/50SVPF39M</x:v>
      </x:c>
    </x:row>
    <x:row r="12" ht="48" customHeight="1">
      <x:c r="A12" s="9" t="str">
        <x:v>C106</x:v>
      </x:c>
      <x:c r="B12" s="9" t="str">
        <x:v>100n /50V 0603 VIN loop</x:v>
      </x:c>
      <x:c r="C12" s="9" t="str">
        <x:v>KEMET</x:v>
      </x:c>
      <x:c r="D12" s="10" t="str">
        <x:v>C0603C104K5RACTU</x:v>
      </x:c>
      <x:c r="E12" s="12" t="str">
        <x:v>0603</x:v>
      </x:c>
      <x:c r="F12" s="11" t="n">
        <x:v>1</x:v>
      </x:c>
      <x:c r="G12" s="9" t="str">
        <x:v>背面</x:v>
      </x:c>
      <x:c r="H12" s="9" t="str">
        <x:v>SPECIFICATION_FROZEN_PREFERRED_BOM</x:v>
      </x:c>
      <x:c r="I12" s="9" t="str"/>
      <x:c r="J12" s="9" t="str">
        <x:v>精度：10%；耐压：&gt;=50V；介质：X7R</x:v>
      </x:c>
      <x:c r="K12" s="9" t="str">
        <x:v>X100_Physical:Official_Capacitor_SMD_C_0603_1608Metric</x:v>
      </x:c>
      <x:c r="L12" s="9" t="str">
        <x:v>https://s.taobao.com/search?q=KEMET%20C0603C104K5RACTU%200603</x:v>
      </x:c>
      <x:c r="M12" s="9" t="str">
        <x:v>https://www.yageogroup.com/component-documentation/download/specsheet/C0603C104K5RACTU</x:v>
      </x:c>
    </x:row>
    <x:row r="13" ht="48" customHeight="1">
      <x:c r="A13" s="9" t="str">
        <x:v>C107</x:v>
      </x:c>
      <x:c r="B13" s="9" t="str">
        <x:v>100n BOOT-SW</x:v>
      </x:c>
      <x:c r="C13" s="9" t="str">
        <x:v>KEMET</x:v>
      </x:c>
      <x:c r="D13" s="10" t="str">
        <x:v>C0603C104K5RACTU</x:v>
      </x:c>
      <x:c r="E13" s="12" t="str">
        <x:v>0603</x:v>
      </x:c>
      <x:c r="F13" s="11" t="n">
        <x:v>1</x:v>
      </x:c>
      <x:c r="G13" s="9" t="str">
        <x:v>背面</x:v>
      </x:c>
      <x:c r="H13" s="9" t="str">
        <x:v>SPECIFICATION_FROZEN_PREFERRED_BOM</x:v>
      </x:c>
      <x:c r="I13" s="9" t="str"/>
      <x:c r="J13" s="9" t="str">
        <x:v>精度：10%；耐压：&gt;=50V；介质：X7R</x:v>
      </x:c>
      <x:c r="K13" s="9" t="str">
        <x:v>X100_Physical:Official_Capacitor_SMD_C_0603_1608Metric</x:v>
      </x:c>
      <x:c r="L13" s="9" t="str">
        <x:v>https://s.taobao.com/search?q=KEMET%20C0603C104K5RACTU%200603</x:v>
      </x:c>
      <x:c r="M13" s="9" t="str">
        <x:v>https://www.yageogroup.com/component-documentation/download/specsheet/C0603C104K5RACTU</x:v>
      </x:c>
    </x:row>
    <x:row r="14" ht="48" customHeight="1">
      <x:c r="A14" s="9" t="str">
        <x:v>C108</x:v>
      </x:c>
      <x:c r="B14" s="9" t="str">
        <x:v>180u /16V +5V_MAIN</x:v>
      </x:c>
      <x:c r="C14" s="9" t="str">
        <x:v>Panasonic</x:v>
      </x:c>
      <x:c r="D14" s="10" t="str">
        <x:v>16SVPF180M</x:v>
      </x:c>
      <x:c r="E14" s="10" t="str">
        <x:v>OS-CON C6 diameter6.3 height5.9</x:v>
      </x:c>
      <x:c r="F14" s="11" t="n">
        <x:v>1</x:v>
      </x:c>
      <x:c r="G14" s="9" t="str">
        <x:v>背面</x:v>
      </x:c>
      <x:c r="H14" s="9" t="str">
        <x:v>EXACT_MPN_FROZEN</x:v>
      </x:c>
      <x:c r="I14" s="9" t="str"/>
      <x:c r="J14" s="9" t="str"/>
      <x:c r="K14" s="9" t="str">
        <x:v>X100_Physical:Panasonic_OSCON_C6</x:v>
      </x:c>
      <x:c r="L14" s="9" t="str">
        <x:v>https://s.taobao.com/search?q=Panasonic%2016SVPF180M%20OS-CON%20C6%20diameter6.3%20height5.9</x:v>
      </x:c>
      <x:c r="M14" s="9" t="str">
        <x:v>https://industrial.panasonic.com/ww/products/pt/os-con/models/16SVPF180M</x:v>
      </x:c>
    </x:row>
    <x:row r="15" ht="48" customHeight="1">
      <x:c r="A15" s="9" t="str">
        <x:v>C109</x:v>
      </x:c>
      <x:c r="B15" s="9" t="str">
        <x:v>22n COMP series</x:v>
      </x:c>
      <x:c r="C15" s="9" t="str">
        <x:v>KEMET</x:v>
      </x:c>
      <x:c r="D15" s="10" t="str">
        <x:v>C0805C223K5RACTU</x:v>
      </x:c>
      <x:c r="E15" s="12" t="str">
        <x:v>0805</x:v>
      </x:c>
      <x:c r="F15" s="11" t="n">
        <x:v>1</x:v>
      </x:c>
      <x:c r="G15" s="9" t="str">
        <x:v>背面</x:v>
      </x:c>
      <x:c r="H15" s="9" t="str">
        <x:v>SPECIFICATION_FROZEN_PREFERRED_BOM</x:v>
      </x:c>
      <x:c r="I15" s="9" t="str"/>
      <x:c r="J15" s="9" t="str">
        <x:v>精度：10%；耐压：&gt;=50V；介质：X7R</x:v>
      </x:c>
      <x:c r="K15" s="9" t="str">
        <x:v>X100_Physical:Official_Capacitor_SMD_C_0805_2012Metric</x:v>
      </x:c>
      <x:c r="L15" s="9" t="str">
        <x:v>https://s.taobao.com/search?q=KEMET%20C0805C223K5RACTU%200805</x:v>
      </x:c>
      <x:c r="M15" s="9" t="str">
        <x:v>https://www.yageogroup.com/component-documentation/download/specsheet/C0805C223K5RACTU</x:v>
      </x:c>
    </x:row>
    <x:row r="16" ht="48" customHeight="1">
      <x:c r="A16" s="9" t="str">
        <x:v>C110</x:v>
      </x:c>
      <x:c r="B16" s="9" t="str">
        <x:v>240p COMP pole</x:v>
      </x:c>
      <x:c r="C16" s="9" t="str">
        <x:v>KEMET</x:v>
      </x:c>
      <x:c r="D16" s="10" t="str">
        <x:v>C0805C241J5GACTU</x:v>
      </x:c>
      <x:c r="E16" s="12" t="str">
        <x:v>0805</x:v>
      </x:c>
      <x:c r="F16" s="11" t="n">
        <x:v>1</x:v>
      </x:c>
      <x:c r="G16" s="9" t="str">
        <x:v>背面</x:v>
      </x:c>
      <x:c r="H16" s="9" t="str">
        <x:v>SPECIFICATION_FROZEN_PREFERRED_BOM</x:v>
      </x:c>
      <x:c r="I16" s="9" t="str"/>
      <x:c r="J16" s="9" t="str">
        <x:v>精度：5%；耐压：&gt;=50V；介质：C0G/NP0</x:v>
      </x:c>
      <x:c r="K16" s="9" t="str">
        <x:v>X100_Physical:Official_Capacitor_SMD_C_0805_2012Metric</x:v>
      </x:c>
      <x:c r="L16" s="9" t="str">
        <x:v>https://s.taobao.com/search?q=KEMET%20C0805C241J5GACTU%200805</x:v>
      </x:c>
      <x:c r="M16" s="9" t="str">
        <x:v>https://www.yageogroup.com/component-documentation/download/specsheet/C0805C241J5GACTU</x:v>
      </x:c>
    </x:row>
    <x:row r="17" ht="48" customHeight="1">
      <x:c r="A17" s="9" t="str">
        <x:v>C111</x:v>
      </x:c>
      <x:c r="B17" s="9" t="str">
        <x:v>10u AP input</x:v>
      </x:c>
      <x:c r="C17" s="9" t="str">
        <x:v>KEMET</x:v>
      </x:c>
      <x:c r="D17" s="10" t="str">
        <x:v>C1210C106K5RACTU</x:v>
      </x:c>
      <x:c r="E17" s="12" t="str">
        <x:v>1210</x:v>
      </x:c>
      <x:c r="F17" s="11" t="n">
        <x:v>1</x:v>
      </x:c>
      <x:c r="G17" s="9" t="str">
        <x:v>背面</x:v>
      </x:c>
      <x:c r="H17" s="9" t="str">
        <x:v>SPECIFICATION_FROZEN_PREFERRED_BOM</x:v>
      </x:c>
      <x:c r="I17" s="9" t="str"/>
      <x:c r="J17" s="9" t="str">
        <x:v>精度：10%；耐压：&gt;=50V；介质：X7R</x:v>
      </x:c>
      <x:c r="K17" s="9" t="str">
        <x:v>X100_Physical:Official_Capacitor_SMD_C_1210_3225Metric</x:v>
      </x:c>
      <x:c r="L17" s="9" t="str">
        <x:v>https://s.taobao.com/search?q=KEMET%20C1210C106K5RACTU%201210</x:v>
      </x:c>
      <x:c r="M17" s="9" t="str">
        <x:v>https://www.yageogroup.com/component-documentation/download/specsheet/C1210C106K5RACTU</x:v>
      </x:c>
    </x:row>
    <x:row r="18" ht="48" customHeight="1">
      <x:c r="A18" s="9" t="str">
        <x:v>C112</x:v>
      </x:c>
      <x:c r="B18" s="9" t="str">
        <x:v>100n BST-SW</x:v>
      </x:c>
      <x:c r="C18" s="9" t="str">
        <x:v>KEMET</x:v>
      </x:c>
      <x:c r="D18" s="10" t="str">
        <x:v>C0603C104K5RACTU</x:v>
      </x:c>
      <x:c r="E18" s="12" t="str">
        <x:v>0603</x:v>
      </x:c>
      <x:c r="F18" s="11" t="n">
        <x:v>1</x:v>
      </x:c>
      <x:c r="G18" s="9" t="str">
        <x:v>背面</x:v>
      </x:c>
      <x:c r="H18" s="9" t="str">
        <x:v>SPECIFICATION_FROZEN_PREFERRED_BOM</x:v>
      </x:c>
      <x:c r="I18" s="9" t="str"/>
      <x:c r="J18" s="9" t="str">
        <x:v>精度：10%；耐压：&gt;=50V；介质：X7R</x:v>
      </x:c>
      <x:c r="K18" s="9" t="str">
        <x:v>X100_Physical:Official_Capacitor_SMD_C_0603_1608Metric</x:v>
      </x:c>
      <x:c r="L18" s="9" t="str">
        <x:v>https://s.taobao.com/search?q=KEMET%20C0603C104K5RACTU%200603</x:v>
      </x:c>
      <x:c r="M18" s="9" t="str">
        <x:v>https://www.yageogroup.com/component-documentation/download/specsheet/C0603C104K5RACTU</x:v>
      </x:c>
    </x:row>
    <x:row r="19" ht="48" customHeight="1">
      <x:c r="A19" s="9" t="str">
        <x:v>C113</x:v>
      </x:c>
      <x:c r="B19" s="9" t="str">
        <x:v>22u /16V</x:v>
      </x:c>
      <x:c r="C19" s="9" t="str">
        <x:v>KEMET</x:v>
      </x:c>
      <x:c r="D19" s="10" t="str">
        <x:v>C1210C226K4RACTU</x:v>
      </x:c>
      <x:c r="E19" s="12" t="str">
        <x:v>1210</x:v>
      </x:c>
      <x:c r="F19" s="11" t="n">
        <x:v>1</x:v>
      </x:c>
      <x:c r="G19" s="9" t="str">
        <x:v>背面</x:v>
      </x:c>
      <x:c r="H19" s="9" t="str">
        <x:v>SPECIFICATION_FROZEN_PREFERRED_BOM</x:v>
      </x:c>
      <x:c r="I19" s="9" t="str"/>
      <x:c r="J19" s="9" t="str">
        <x:v>精度：10%；耐压：&gt;=16V；介质：X7R</x:v>
      </x:c>
      <x:c r="K19" s="9" t="str">
        <x:v>X100_Physical:Official_Capacitor_SMD_C_1210_3225Metric</x:v>
      </x:c>
      <x:c r="L19" s="9" t="str">
        <x:v>https://s.taobao.com/search?q=KEMET%20C1210C226K4RACTU%201210</x:v>
      </x:c>
      <x:c r="M19" s="9" t="str">
        <x:v>https://www.yageogroup.com/component-documentation/download/specsheet/C1210C226K4RACTU</x:v>
      </x:c>
    </x:row>
    <x:row r="20" ht="48" customHeight="1">
      <x:c r="A20" s="9" t="str">
        <x:v>C114</x:v>
      </x:c>
      <x:c r="B20" s="9" t="str">
        <x:v>22u /16V</x:v>
      </x:c>
      <x:c r="C20" s="9" t="str">
        <x:v>KEMET</x:v>
      </x:c>
      <x:c r="D20" s="10" t="str">
        <x:v>C1210C226K4RACTU</x:v>
      </x:c>
      <x:c r="E20" s="12" t="str">
        <x:v>1210</x:v>
      </x:c>
      <x:c r="F20" s="11" t="n">
        <x:v>1</x:v>
      </x:c>
      <x:c r="G20" s="9" t="str">
        <x:v>背面</x:v>
      </x:c>
      <x:c r="H20" s="9" t="str">
        <x:v>SPECIFICATION_FROZEN_PREFERRED_BOM</x:v>
      </x:c>
      <x:c r="I20" s="9" t="str"/>
      <x:c r="J20" s="9" t="str">
        <x:v>精度：10%；耐压：&gt;=16V；介质：X7R</x:v>
      </x:c>
      <x:c r="K20" s="9" t="str">
        <x:v>X100_Physical:Official_Capacitor_SMD_C_1210_3225Metric</x:v>
      </x:c>
      <x:c r="L20" s="9" t="str">
        <x:v>https://s.taobao.com/search?q=KEMET%20C1210C226K4RACTU%201210</x:v>
      </x:c>
      <x:c r="M20" s="9" t="str">
        <x:v>https://www.yageogroup.com/component-documentation/download/specsheet/C1210C226K4RACTU</x:v>
      </x:c>
    </x:row>
    <x:row r="21" ht="48" customHeight="1">
      <x:c r="A21" s="9" t="str">
        <x:v>C115</x:v>
      </x:c>
      <x:c r="B21" s="9" t="str">
        <x:v>2.2u /16V input</x:v>
      </x:c>
      <x:c r="C21" s="9" t="str">
        <x:v>KEMET</x:v>
      </x:c>
      <x:c r="D21" s="10" t="str">
        <x:v>C0805C225K4RACTU</x:v>
      </x:c>
      <x:c r="E21" s="12" t="str">
        <x:v>0805</x:v>
      </x:c>
      <x:c r="F21" s="11" t="n">
        <x:v>1</x:v>
      </x:c>
      <x:c r="G21" s="9" t="str">
        <x:v>正面</x:v>
      </x:c>
      <x:c r="H21" s="9" t="str">
        <x:v>SPECIFICATION_FROZEN_PREFERRED_BOM</x:v>
      </x:c>
      <x:c r="I21" s="9" t="str"/>
      <x:c r="J21" s="9" t="str">
        <x:v>精度：10%；耐压：&gt;=16V；介质：X7R</x:v>
      </x:c>
      <x:c r="K21" s="9" t="str">
        <x:v>X100_Physical:Official_Capacitor_SMD_C_0805_2012Metric</x:v>
      </x:c>
      <x:c r="L21" s="9" t="str">
        <x:v>https://s.taobao.com/search?q=KEMET%20C0805C225K4RACTU%200805</x:v>
      </x:c>
      <x:c r="M21" s="9" t="str">
        <x:v>https://www.yageogroup.com/component-documentation/download/specsheet/C0805C225K4RACTU</x:v>
      </x:c>
    </x:row>
    <x:row r="22" ht="48" customHeight="1">
      <x:c r="A22" s="9" t="str">
        <x:v>C116</x:v>
      </x:c>
      <x:c r="B22" s="9" t="str">
        <x:v>2.2u /16V output</x:v>
      </x:c>
      <x:c r="C22" s="9" t="str">
        <x:v>KEMET</x:v>
      </x:c>
      <x:c r="D22" s="10" t="str">
        <x:v>C0805C225K4RACTU</x:v>
      </x:c>
      <x:c r="E22" s="12" t="str">
        <x:v>0805</x:v>
      </x:c>
      <x:c r="F22" s="11" t="n">
        <x:v>1</x:v>
      </x:c>
      <x:c r="G22" s="9" t="str">
        <x:v>正面</x:v>
      </x:c>
      <x:c r="H22" s="9" t="str">
        <x:v>SPECIFICATION_FROZEN_PREFERRED_BOM</x:v>
      </x:c>
      <x:c r="I22" s="9" t="str"/>
      <x:c r="J22" s="9" t="str">
        <x:v>精度：10%；耐压：&gt;=16V；介质：X7R</x:v>
      </x:c>
      <x:c r="K22" s="9" t="str">
        <x:v>X100_Physical:Official_Capacitor_SMD_C_0805_2012Metric</x:v>
      </x:c>
      <x:c r="L22" s="9" t="str">
        <x:v>https://s.taobao.com/search?q=KEMET%20C0805C225K4RACTU%200805</x:v>
      </x:c>
      <x:c r="M22" s="9" t="str">
        <x:v>https://www.yageogroup.com/component-documentation/download/specsheet/C0805C225K4RACTU</x:v>
      </x:c>
    </x:row>
    <x:row r="23" ht="48" customHeight="1">
      <x:c r="A23" s="9" t="str">
        <x:v>C117</x:v>
      </x:c>
      <x:c r="B23" s="9" t="str">
        <x:v>100n switch input loop</x:v>
      </x:c>
      <x:c r="C23" s="9" t="str">
        <x:v>KEMET</x:v>
      </x:c>
      <x:c r="D23" s="10" t="str">
        <x:v>C0603C104K5RACTU</x:v>
      </x:c>
      <x:c r="E23" s="12" t="str">
        <x:v>0603</x:v>
      </x:c>
      <x:c r="F23" s="11" t="n">
        <x:v>1</x:v>
      </x:c>
      <x:c r="G23" s="9" t="str">
        <x:v>背面</x:v>
      </x:c>
      <x:c r="H23" s="9" t="str">
        <x:v>SPECIFICATION_FROZEN_PREFERRED_BOM</x:v>
      </x:c>
      <x:c r="I23" s="9" t="str"/>
      <x:c r="J23" s="9" t="str">
        <x:v>精度：10%；耐压：&gt;=50V；介质：X7R</x:v>
      </x:c>
      <x:c r="K23" s="9" t="str">
        <x:v>X100_Physical:Official_Capacitor_SMD_C_0603_1608Metric</x:v>
      </x:c>
      <x:c r="L23" s="9" t="str">
        <x:v>https://s.taobao.com/search?q=KEMET%20C0603C104K5RACTU%200603</x:v>
      </x:c>
      <x:c r="M23" s="9" t="str">
        <x:v>https://www.yageogroup.com/component-documentation/download/specsheet/C0603C104K5RACTU</x:v>
      </x:c>
    </x:row>
    <x:row r="24" ht="48" customHeight="1">
      <x:c r="A24" s="9" t="str">
        <x:v>C118</x:v>
      </x:c>
      <x:c r="B24" s="9" t="str">
        <x:v>10u switch input</x:v>
      </x:c>
      <x:c r="C24" s="9" t="str">
        <x:v>KEMET</x:v>
      </x:c>
      <x:c r="D24" s="10" t="str">
        <x:v>C1210C106K5RACTU</x:v>
      </x:c>
      <x:c r="E24" s="12" t="str">
        <x:v>1210</x:v>
      </x:c>
      <x:c r="F24" s="11" t="n">
        <x:v>1</x:v>
      </x:c>
      <x:c r="G24" s="9" t="str">
        <x:v>背面</x:v>
      </x:c>
      <x:c r="H24" s="9" t="str">
        <x:v>SPECIFICATION_FROZEN_PREFERRED_BOM</x:v>
      </x:c>
      <x:c r="I24" s="9" t="str"/>
      <x:c r="J24" s="9" t="str">
        <x:v>精度：10%；耐压：&gt;=50V；介质：X7R</x:v>
      </x:c>
      <x:c r="K24" s="9" t="str">
        <x:v>X100_Physical:Official_Capacitor_SMD_C_1210_3225Metric</x:v>
      </x:c>
      <x:c r="L24" s="9" t="str">
        <x:v>https://s.taobao.com/search?q=KEMET%20C1210C106K5RACTU%201210</x:v>
      </x:c>
      <x:c r="M24" s="9" t="str">
        <x:v>https://www.yageogroup.com/component-documentation/download/specsheet/C1210C106K5RACTU</x:v>
      </x:c>
    </x:row>
    <x:row r="25" ht="48" customHeight="1">
      <x:c r="A25" s="9" t="str">
        <x:v>C119</x:v>
      </x:c>
      <x:c r="B25" s="9" t="str">
        <x:v>82u /16V PTC-before bulk</x:v>
      </x:c>
      <x:c r="C25" s="9" t="str">
        <x:v>Panasonic</x:v>
      </x:c>
      <x:c r="D25" s="10" t="str">
        <x:v>16SVPF82M</x:v>
      </x:c>
      <x:c r="E25" s="10" t="str">
        <x:v>OS-CON B6 diameter5 height5.9</x:v>
      </x:c>
      <x:c r="F25" s="11" t="n">
        <x:v>1</x:v>
      </x:c>
      <x:c r="G25" s="9" t="str">
        <x:v>正面</x:v>
      </x:c>
      <x:c r="H25" s="9" t="str">
        <x:v>EXACT_MPN_FROZEN</x:v>
      </x:c>
      <x:c r="I25" s="9" t="str"/>
      <x:c r="J25" s="9" t="str"/>
      <x:c r="K25" s="9" t="str">
        <x:v>X100_Physical:Panasonic_OSCON_B6</x:v>
      </x:c>
      <x:c r="L25" s="9" t="str">
        <x:v>https://s.taobao.com/search?q=Panasonic%2016SVPF82M%20OS-CON%20B6%20diameter5%20height5.9</x:v>
      </x:c>
      <x:c r="M25" s="9" t="str">
        <x:v>https://industrial.panasonic.com/ww/products/pt/os-con/models/16SVPF82M</x:v>
      </x:c>
    </x:row>
    <x:row r="26" ht="48" customHeight="1">
      <x:c r="A26" s="9" t="str">
        <x:v>C120</x:v>
      </x:c>
      <x:c r="B26" s="9" t="str">
        <x:v>1u EXT local</x:v>
      </x:c>
      <x:c r="C26" s="9" t="str">
        <x:v>KEMET</x:v>
      </x:c>
      <x:c r="D26" s="10" t="str">
        <x:v>C0805C105K4RACTU</x:v>
      </x:c>
      <x:c r="E26" s="12" t="str">
        <x:v>0805</x:v>
      </x:c>
      <x:c r="F26" s="11" t="n">
        <x:v>1</x:v>
      </x:c>
      <x:c r="G26" s="9" t="str">
        <x:v>背面</x:v>
      </x:c>
      <x:c r="H26" s="9" t="str">
        <x:v>SPECIFICATION_FROZEN_PREFERRED_BOM</x:v>
      </x:c>
      <x:c r="I26" s="9" t="str"/>
      <x:c r="J26" s="9" t="str">
        <x:v>精度：10%；耐压：&gt;=16V；介质：X7R</x:v>
      </x:c>
      <x:c r="K26" s="9" t="str">
        <x:v>X100_Physical:Official_Capacitor_SMD_C_0805_2012Metric</x:v>
      </x:c>
      <x:c r="L26" s="9" t="str">
        <x:v>https://s.taobao.com/search?q=KEMET%20C0805C105K4RACTU%200805</x:v>
      </x:c>
      <x:c r="M26" s="9" t="str">
        <x:v>https://www.yageogroup.com/component-documentation/download/specsheet/C0805C105K4RACTU</x:v>
      </x:c>
    </x:row>
    <x:row r="27" ht="48" customHeight="1">
      <x:c r="A27" s="9" t="str">
        <x:v>C121</x:v>
      </x:c>
      <x:c r="B27" s="9" t="str">
        <x:v>180u /16V core mux hold-up (+ pin1)</x:v>
      </x:c>
      <x:c r="C27" s="9" t="str">
        <x:v>Panasonic</x:v>
      </x:c>
      <x:c r="D27" s="10" t="str">
        <x:v>16SVPF180M</x:v>
      </x:c>
      <x:c r="E27" s="10" t="str">
        <x:v>OS-CON C6 diameter6.3 height5.9</x:v>
      </x:c>
      <x:c r="F27" s="11" t="n">
        <x:v>1</x:v>
      </x:c>
      <x:c r="G27" s="9" t="str">
        <x:v>背面</x:v>
      </x:c>
      <x:c r="H27" s="9" t="str">
        <x:v>EXACT_MPN; REUSE_SELECTED_16SVPF180M; CANDIDATE_ARCHITECTURE_UNAPPROVED; NO_PURCHASE</x:v>
      </x:c>
      <x:c r="I27" s="9" t="str">
        <x:v>DATASHEET_CAPACITANCE_ESR_SCREEN; STARTUP_AND_HOLDUP_NOT_QUALIFIED</x:v>
      </x:c>
      <x:c r="J27" s="9" t="str"/>
      <x:c r="K27" s="9" t="str">
        <x:v>X100_Physical:Panasonic_OSCON_C6</x:v>
      </x:c>
      <x:c r="L27" s="9" t="str">
        <x:v>https://s.taobao.com/search?q=Panasonic%2016SVPF180M%20OS-CON%20C6%20diameter6.3%20height5.9</x:v>
      </x:c>
      <x:c r="M27" s="9" t="str">
        <x:v>https://industrial.panasonic.com/ww/products/pt/os-con/models/16SVPF180M</x:v>
      </x:c>
    </x:row>
    <x:row r="28" ht="48" customHeight="1">
      <x:c r="A28" s="9" t="str">
        <x:v>C123</x:v>
      </x:c>
      <x:c r="B28" s="9" t="str">
        <x:v>1u /16V shared input bypass</x:v>
      </x:c>
      <x:c r="C28" s="9" t="str">
        <x:v>KEMET</x:v>
      </x:c>
      <x:c r="D28" s="10" t="str">
        <x:v>C0805C105K4RACTU</x:v>
      </x:c>
      <x:c r="E28" s="12" t="str">
        <x:v>0805</x:v>
      </x:c>
      <x:c r="F28" s="11" t="n">
        <x:v>1</x:v>
      </x:c>
      <x:c r="G28" s="9" t="str">
        <x:v>背面</x:v>
      </x:c>
      <x:c r="H28" s="9" t="str">
        <x:v>VALUE_SPEC_CONTROLLED; preferred MPN; availability not checked</x:v>
      </x:c>
      <x:c r="I28" s="9" t="str">
        <x:v>CANDIDATE_SHARED_DECOUPLING; PLACEMENT_REQUIRED; NO_BENCH_PASS</x:v>
      </x:c>
      <x:c r="J28" s="9" t="str">
        <x:v>精度：10%；耐压：&gt;=16V；介质：X7R</x:v>
      </x:c>
      <x:c r="K28" s="9" t="str">
        <x:v>X100_Physical:Official_Capacitor_SMD_C_0805_2012Metric</x:v>
      </x:c>
      <x:c r="L28" s="9" t="str">
        <x:v>https://s.taobao.com/search?q=KEMET%20C0805C105K4RACTU%200805</x:v>
      </x:c>
      <x:c r="M28" s="9" t="str"/>
    </x:row>
    <x:row r="29" ht="48" customHeight="1">
      <x:c r="A29" s="9" t="str">
        <x:v>C124</x:v>
      </x:c>
      <x:c r="B29" s="9" t="str">
        <x:v>1u /16V</x:v>
      </x:c>
      <x:c r="C29" s="9" t="str">
        <x:v>KEMET</x:v>
      </x:c>
      <x:c r="D29" s="10" t="str">
        <x:v>C0805C105K4RACTU</x:v>
      </x:c>
      <x:c r="E29" s="10" t="str"/>
      <x:c r="F29" s="11" t="n">
        <x:v>1</x:v>
      </x:c>
      <x:c r="G29" s="9" t="str">
        <x:v>背面</x:v>
      </x:c>
      <x:c r="H29" s="9" t="str">
        <x:v>VALUE_SPEC_CONTROLLED; preferred MPN; availability not checked</x:v>
      </x:c>
      <x:c r="I29" s="9" t="str">
        <x:v>CANDIDATE; native ERC checked; functional/current/DFM not complete</x:v>
      </x:c>
      <x:c r="J29" s="9" t="str"/>
      <x:c r="K29" s="9" t="str">
        <x:v>X100_Physical:Official_Capacitor_SMD_C_0805_2012Metric</x:v>
      </x:c>
      <x:c r="L29" s="9" t="str">
        <x:v>https://s.taobao.com/search?q=KEMET%20C0805C105K4RACTU%20</x:v>
      </x:c>
      <x:c r="M29" s="9" t="str"/>
    </x:row>
    <x:row r="30" ht="48" customHeight="1">
      <x:c r="A30" s="9" t="str">
        <x:v>C125</x:v>
      </x:c>
      <x:c r="B30" s="9" t="str">
        <x:v>1u /16V mux VIN1</x:v>
      </x:c>
      <x:c r="C30" s="9" t="str">
        <x:v>KEMET</x:v>
      </x:c>
      <x:c r="D30" s="10" t="str">
        <x:v>C0805C105K4RACTU</x:v>
      </x:c>
      <x:c r="E30" s="12" t="str">
        <x:v>0805</x:v>
      </x:c>
      <x:c r="F30" s="11" t="n">
        <x:v>1</x:v>
      </x:c>
      <x:c r="G30" s="9" t="str">
        <x:v>背面</x:v>
      </x:c>
      <x:c r="H30" s="9" t="str">
        <x:v>VALUE_SPEC_CONTROLLED; preferred MPN; availability not checked</x:v>
      </x:c>
      <x:c r="I30" s="9" t="str">
        <x:v>CANDIDATE_SHARED_DECOUPLING; PLACEMENT_REQUIRED; NO_BENCH_PASS</x:v>
      </x:c>
      <x:c r="J30" s="9" t="str">
        <x:v>精度：10%；耐压：&gt;=16V；介质：X7R</x:v>
      </x:c>
      <x:c r="K30" s="9" t="str">
        <x:v>X100_Physical:Official_Capacitor_SMD_C_0805_2012Metric</x:v>
      </x:c>
      <x:c r="L30" s="9" t="str">
        <x:v>https://s.taobao.com/search?q=KEMET%20C0805C105K4RACTU%200805</x:v>
      </x:c>
      <x:c r="M30" s="9" t="str"/>
    </x:row>
    <x:row r="31" ht="48" customHeight="1">
      <x:c r="A31" s="9" t="str">
        <x:v>C126</x:v>
      </x:c>
      <x:c r="B31" s="9" t="str">
        <x:v>1u /16V mux output</x:v>
      </x:c>
      <x:c r="C31" s="9" t="str">
        <x:v>KEMET</x:v>
      </x:c>
      <x:c r="D31" s="10" t="str">
        <x:v>C0805C105K4RACTU</x:v>
      </x:c>
      <x:c r="E31" s="10" t="str"/>
      <x:c r="F31" s="11" t="n">
        <x:v>1</x:v>
      </x:c>
      <x:c r="G31" s="9" t="str">
        <x:v>背面</x:v>
      </x:c>
      <x:c r="H31" s="9" t="str">
        <x:v>VALUE_SPEC_CONTROLLED; preferred MPN; availability not checked</x:v>
      </x:c>
      <x:c r="I31" s="9" t="str">
        <x:v>CANDIDATE; native ERC checked; functional/current/DFM not complete</x:v>
      </x:c>
      <x:c r="J31" s="9" t="str"/>
      <x:c r="K31" s="9" t="str">
        <x:v>X100_Physical:Official_Capacitor_SMD_C_0805_2012Metric</x:v>
      </x:c>
      <x:c r="L31" s="9" t="str">
        <x:v>https://s.taobao.com/search?q=KEMET%20C0805C105K4RACTU%20</x:v>
      </x:c>
      <x:c r="M31" s="9" t="str"/>
    </x:row>
    <x:row r="32" ht="48" customHeight="1">
      <x:c r="A32" s="9" t="str">
        <x:v>C201</x:v>
      </x:c>
      <x:c r="B32" s="9" t="str">
        <x:v>2.2u VCAP /16V</x:v>
      </x:c>
      <x:c r="C32" s="9" t="str">
        <x:v>KEMET</x:v>
      </x:c>
      <x:c r="D32" s="10" t="str">
        <x:v>C0805C225K4RACTU</x:v>
      </x:c>
      <x:c r="E32" s="12" t="str">
        <x:v>0805</x:v>
      </x:c>
      <x:c r="F32" s="11" t="n">
        <x:v>1</x:v>
      </x:c>
      <x:c r="G32" s="9" t="str">
        <x:v>正面</x:v>
      </x:c>
      <x:c r="H32" s="9" t="str">
        <x:v>SPECIFICATION_FROZEN_PREFERRED_BOM</x:v>
      </x:c>
      <x:c r="I32" s="9" t="str"/>
      <x:c r="J32" s="9" t="str">
        <x:v>精度：10%；耐压：&gt;=16V；介质：X7R</x:v>
      </x:c>
      <x:c r="K32" s="9" t="str">
        <x:v>X100_Physical:Official_Capacitor_SMD_C_0805_2012Metric</x:v>
      </x:c>
      <x:c r="L32" s="9" t="str">
        <x:v>https://s.taobao.com/search?q=KEMET%20C0805C225K4RACTU%200805</x:v>
      </x:c>
      <x:c r="M32" s="9" t="str">
        <x:v>https://www.yageogroup.com/component-documentation/download/specsheet/C0805C225K4RACTU</x:v>
      </x:c>
    </x:row>
    <x:row r="33" ht="48" customHeight="1">
      <x:c r="A33" s="9" t="str">
        <x:v>C202</x:v>
      </x:c>
      <x:c r="B33" s="9" t="str">
        <x:v>2.2u VCAP /16V</x:v>
      </x:c>
      <x:c r="C33" s="9" t="str">
        <x:v>KEMET</x:v>
      </x:c>
      <x:c r="D33" s="10" t="str">
        <x:v>C0805C225K4RACTU</x:v>
      </x:c>
      <x:c r="E33" s="12" t="str">
        <x:v>0805</x:v>
      </x:c>
      <x:c r="F33" s="11" t="n">
        <x:v>1</x:v>
      </x:c>
      <x:c r="G33" s="9" t="str">
        <x:v>背面</x:v>
      </x:c>
      <x:c r="H33" s="9" t="str">
        <x:v>SPECIFICATION_FROZEN_PREFERRED_BOM</x:v>
      </x:c>
      <x:c r="I33" s="9" t="str"/>
      <x:c r="J33" s="9" t="str">
        <x:v>精度：10%；耐压：&gt;=16V；介质：X7R</x:v>
      </x:c>
      <x:c r="K33" s="9" t="str">
        <x:v>X100_Physical:Official_Capacitor_SMD_C_0805_2012Metric</x:v>
      </x:c>
      <x:c r="L33" s="9" t="str">
        <x:v>https://s.taobao.com/search?q=KEMET%20C0805C225K4RACTU%200805</x:v>
      </x:c>
      <x:c r="M33" s="9" t="str">
        <x:v>https://www.yageogroup.com/component-documentation/download/specsheet/C0805C225K4RACTU</x:v>
      </x:c>
    </x:row>
    <x:row r="34" ht="48" customHeight="1">
      <x:c r="A34" s="9" t="str">
        <x:v>C203</x:v>
      </x:c>
      <x:c r="B34" s="9" t="str">
        <x:v>100n local VDD pin11</x:v>
      </x:c>
      <x:c r="C34" s="9" t="str">
        <x:v>KEMET</x:v>
      </x:c>
      <x:c r="D34" s="10" t="str">
        <x:v>C0603C104K5RACTU</x:v>
      </x:c>
      <x:c r="E34" s="12" t="str">
        <x:v>0603</x:v>
      </x:c>
      <x:c r="F34" s="11" t="n">
        <x:v>1</x:v>
      </x:c>
      <x:c r="G34" s="9" t="str">
        <x:v>背面</x:v>
      </x:c>
      <x:c r="H34" s="9" t="str">
        <x:v>SPECIFICATION_FROZEN_PREFERRED_BOM</x:v>
      </x:c>
      <x:c r="I34" s="9" t="str"/>
      <x:c r="J34" s="9" t="str">
        <x:v>精度：10%；耐压：&gt;=50V；介质：X7R</x:v>
      </x:c>
      <x:c r="K34" s="9" t="str">
        <x:v>X100_Physical:Official_Capacitor_SMD_C_0603_1608Metric</x:v>
      </x:c>
      <x:c r="L34" s="9" t="str">
        <x:v>https://s.taobao.com/search?q=KEMET%20C0603C104K5RACTU%200603</x:v>
      </x:c>
      <x:c r="M34" s="9" t="str">
        <x:v>https://www.yageogroup.com/component-documentation/download/specsheet/C0603C104K5RACTU</x:v>
      </x:c>
    </x:row>
    <x:row r="35" ht="48" customHeight="1">
      <x:c r="A35" s="9" t="str">
        <x:v>C204</x:v>
      </x:c>
      <x:c r="B35" s="9" t="str">
        <x:v>100n local VDD pin27</x:v>
      </x:c>
      <x:c r="C35" s="9" t="str">
        <x:v>KEMET</x:v>
      </x:c>
      <x:c r="D35" s="10" t="str">
        <x:v>C0603C104K5RACTU</x:v>
      </x:c>
      <x:c r="E35" s="12" t="str">
        <x:v>0603</x:v>
      </x:c>
      <x:c r="F35" s="11" t="n">
        <x:v>1</x:v>
      </x:c>
      <x:c r="G35" s="9" t="str">
        <x:v>正面</x:v>
      </x:c>
      <x:c r="H35" s="9" t="str">
        <x:v>SPECIFICATION_FROZEN_PREFERRED_BOM</x:v>
      </x:c>
      <x:c r="I35" s="9" t="str"/>
      <x:c r="J35" s="9" t="str">
        <x:v>精度：10%；耐压：&gt;=50V；介质：X7R</x:v>
      </x:c>
      <x:c r="K35" s="9" t="str">
        <x:v>X100_Physical:Official_Capacitor_SMD_C_0603_1608Metric</x:v>
      </x:c>
      <x:c r="L35" s="9" t="str">
        <x:v>https://s.taobao.com/search?q=KEMET%20C0603C104K5RACTU%200603</x:v>
      </x:c>
      <x:c r="M35" s="9" t="str">
        <x:v>https://www.yageogroup.com/component-documentation/download/specsheet/C0603C104K5RACTU</x:v>
      </x:c>
    </x:row>
    <x:row r="36" ht="48" customHeight="1">
      <x:c r="A36" s="9" t="str">
        <x:v>C205</x:v>
      </x:c>
      <x:c r="B36" s="9" t="str">
        <x:v>100n local VDD pin50</x:v>
      </x:c>
      <x:c r="C36" s="9" t="str">
        <x:v>KEMET</x:v>
      </x:c>
      <x:c r="D36" s="10" t="str">
        <x:v>C0603C104K5RACTU</x:v>
      </x:c>
      <x:c r="E36" s="12" t="str">
        <x:v>0603</x:v>
      </x:c>
      <x:c r="F36" s="11" t="n">
        <x:v>1</x:v>
      </x:c>
      <x:c r="G36" s="9" t="str">
        <x:v>背面</x:v>
      </x:c>
      <x:c r="H36" s="9" t="str">
        <x:v>SPECIFICATION_FROZEN_PREFERRED_BOM</x:v>
      </x:c>
      <x:c r="I36" s="9" t="str"/>
      <x:c r="J36" s="9" t="str">
        <x:v>精度：10%；耐压：&gt;=50V；介质：X7R</x:v>
      </x:c>
      <x:c r="K36" s="9" t="str">
        <x:v>X100_Physical:Official_Capacitor_SMD_C_0603_1608Metric</x:v>
      </x:c>
      <x:c r="L36" s="9" t="str">
        <x:v>https://s.taobao.com/search?q=KEMET%20C0603C104K5RACTU%200603</x:v>
      </x:c>
      <x:c r="M36" s="9" t="str">
        <x:v>https://www.yageogroup.com/component-documentation/download/specsheet/C0603C104K5RACTU</x:v>
      </x:c>
    </x:row>
    <x:row r="37" ht="48" customHeight="1">
      <x:c r="A37" s="9" t="str">
        <x:v>C206</x:v>
      </x:c>
      <x:c r="B37" s="9" t="str">
        <x:v>100n local VDD pin75</x:v>
      </x:c>
      <x:c r="C37" s="9" t="str">
        <x:v>KEMET</x:v>
      </x:c>
      <x:c r="D37" s="10" t="str">
        <x:v>C0603C104K5RACTU</x:v>
      </x:c>
      <x:c r="E37" s="12" t="str">
        <x:v>0603</x:v>
      </x:c>
      <x:c r="F37" s="11" t="n">
        <x:v>1</x:v>
      </x:c>
      <x:c r="G37" s="9" t="str">
        <x:v>正面</x:v>
      </x:c>
      <x:c r="H37" s="9" t="str">
        <x:v>SPECIFICATION_FROZEN_PREFERRED_BOM</x:v>
      </x:c>
      <x:c r="I37" s="9" t="str"/>
      <x:c r="J37" s="9" t="str">
        <x:v>精度：10%；耐压：&gt;=50V；介质：X7R</x:v>
      </x:c>
      <x:c r="K37" s="9" t="str">
        <x:v>X100_Physical:Official_Capacitor_SMD_C_0603_1608Metric</x:v>
      </x:c>
      <x:c r="L37" s="9" t="str">
        <x:v>https://s.taobao.com/search?q=KEMET%20C0603C104K5RACTU%200603</x:v>
      </x:c>
      <x:c r="M37" s="9" t="str">
        <x:v>https://www.yageogroup.com/component-documentation/download/specsheet/C0603C104K5RACTU</x:v>
      </x:c>
    </x:row>
    <x:row r="38" ht="48" customHeight="1">
      <x:c r="A38" s="9" t="str">
        <x:v>C207</x:v>
      </x:c>
      <x:c r="B38" s="9" t="str">
        <x:v>100n local VDD pin100</x:v>
      </x:c>
      <x:c r="C38" s="9" t="str">
        <x:v>KEMET</x:v>
      </x:c>
      <x:c r="D38" s="10" t="str">
        <x:v>C0603C104K5RACTU</x:v>
      </x:c>
      <x:c r="E38" s="12" t="str">
        <x:v>0603</x:v>
      </x:c>
      <x:c r="F38" s="11" t="n">
        <x:v>1</x:v>
      </x:c>
      <x:c r="G38" s="9" t="str">
        <x:v>背面</x:v>
      </x:c>
      <x:c r="H38" s="9" t="str">
        <x:v>SPECIFICATION_FROZEN_PREFERRED_BOM</x:v>
      </x:c>
      <x:c r="I38" s="9" t="str"/>
      <x:c r="J38" s="9" t="str">
        <x:v>精度：10%；耐压：&gt;=50V；介质：X7R</x:v>
      </x:c>
      <x:c r="K38" s="9" t="str">
        <x:v>X100_Physical:Official_Capacitor_SMD_C_0603_1608Metric</x:v>
      </x:c>
      <x:c r="L38" s="9" t="str">
        <x:v>https://s.taobao.com/search?q=KEMET%20C0603C104K5RACTU%200603</x:v>
      </x:c>
      <x:c r="M38" s="9" t="str">
        <x:v>https://www.yageogroup.com/component-documentation/download/specsheet/C0603C104K5RACTU</x:v>
      </x:c>
    </x:row>
    <x:row r="39" ht="48" customHeight="1">
      <x:c r="A39" s="9" t="str">
        <x:v>C208</x:v>
      </x:c>
      <x:c r="B39" s="9" t="str">
        <x:v>10u /50V MCU bulk &gt;=4.7u effective</x:v>
      </x:c>
      <x:c r="C39" s="9" t="str">
        <x:v>KEMET</x:v>
      </x:c>
      <x:c r="D39" s="10" t="str">
        <x:v>C1210C106K5RACTU</x:v>
      </x:c>
      <x:c r="E39" s="12" t="str">
        <x:v>1210</x:v>
      </x:c>
      <x:c r="F39" s="11" t="n">
        <x:v>1</x:v>
      </x:c>
      <x:c r="G39" s="9" t="str">
        <x:v>背面</x:v>
      </x:c>
      <x:c r="H39" s="9" t="str">
        <x:v>SPECIFICATION_FROZEN_PREFERRED_BOM</x:v>
      </x:c>
      <x:c r="I39" s="9" t="str"/>
      <x:c r="J39" s="9" t="str">
        <x:v>精度：10%；耐压：&gt;=50V；介质：X7R</x:v>
      </x:c>
      <x:c r="K39" s="9" t="str">
        <x:v>X100_Physical:Official_Capacitor_SMD_C_1210_3225Metric</x:v>
      </x:c>
      <x:c r="L39" s="9" t="str">
        <x:v>https://s.taobao.com/search?q=KEMET%20C1210C106K5RACTU%201210</x:v>
      </x:c>
      <x:c r="M39" s="9" t="str">
        <x:v>https://www.yageogroup.com/component-documentation/download/specsheet/C1210C106K5RACTU</x:v>
      </x:c>
    </x:row>
    <x:row r="40" ht="48" customHeight="1">
      <x:c r="A40" s="9" t="str">
        <x:v>C209</x:v>
      </x:c>
      <x:c r="B40" s="9" t="str">
        <x:v>2.2u VDDA</x:v>
      </x:c>
      <x:c r="C40" s="9" t="str">
        <x:v>KEMET</x:v>
      </x:c>
      <x:c r="D40" s="10" t="str">
        <x:v>C0805C225K4RACTU</x:v>
      </x:c>
      <x:c r="E40" s="12" t="str">
        <x:v>0805</x:v>
      </x:c>
      <x:c r="F40" s="11" t="n">
        <x:v>1</x:v>
      </x:c>
      <x:c r="G40" s="9" t="str">
        <x:v>正面</x:v>
      </x:c>
      <x:c r="H40" s="9" t="str">
        <x:v>SPECIFICATION_FROZEN_PREFERRED_BOM</x:v>
      </x:c>
      <x:c r="I40" s="9" t="str"/>
      <x:c r="J40" s="9" t="str">
        <x:v>精度：10%；耐压：&gt;=16V；介质：X7R</x:v>
      </x:c>
      <x:c r="K40" s="9" t="str">
        <x:v>X100_Physical:Official_Capacitor_SMD_C_0805_2012Metric</x:v>
      </x:c>
      <x:c r="L40" s="9" t="str">
        <x:v>https://s.taobao.com/search?q=KEMET%20C0805C225K4RACTU%200805</x:v>
      </x:c>
      <x:c r="M40" s="9" t="str">
        <x:v>https://www.yageogroup.com/component-documentation/download/specsheet/C0805C225K4RACTU</x:v>
      </x:c>
    </x:row>
    <x:row r="41" ht="48" customHeight="1">
      <x:c r="A41" s="9" t="str">
        <x:v>C210</x:v>
      </x:c>
      <x:c r="B41" s="9" t="str">
        <x:v>100n VDDA pin21/VREF20</x:v>
      </x:c>
      <x:c r="C41" s="9" t="str">
        <x:v>KEMET</x:v>
      </x:c>
      <x:c r="D41" s="10" t="str">
        <x:v>C0603C104K5RACTU</x:v>
      </x:c>
      <x:c r="E41" s="12" t="str">
        <x:v>0603</x:v>
      </x:c>
      <x:c r="F41" s="11" t="n">
        <x:v>1</x:v>
      </x:c>
      <x:c r="G41" s="9" t="str">
        <x:v>正面</x:v>
      </x:c>
      <x:c r="H41" s="9" t="str">
        <x:v>SPECIFICATION_FROZEN_PREFERRED_BOM</x:v>
      </x:c>
      <x:c r="I41" s="9" t="str"/>
      <x:c r="J41" s="9" t="str">
        <x:v>精度：10%；耐压：&gt;=50V；介质：X7R</x:v>
      </x:c>
      <x:c r="K41" s="9" t="str">
        <x:v>X100_Physical:Official_Capacitor_SMD_C_0603_1608Metric</x:v>
      </x:c>
      <x:c r="L41" s="9" t="str">
        <x:v>https://s.taobao.com/search?q=KEMET%20C0603C104K5RACTU%200603</x:v>
      </x:c>
      <x:c r="M41" s="9" t="str">
        <x:v>https://www.yageogroup.com/component-documentation/download/specsheet/C0603C104K5RACTU</x:v>
      </x:c>
    </x:row>
    <x:row r="42" ht="48" customHeight="1">
      <x:c r="A42" s="9" t="str">
        <x:v>C211</x:v>
      </x:c>
      <x:c r="B42" s="9" t="str">
        <x:v>100n MCU VBAT pin6</x:v>
      </x:c>
      <x:c r="C42" s="9" t="str">
        <x:v>KEMET</x:v>
      </x:c>
      <x:c r="D42" s="10" t="str">
        <x:v>C0603C104K5RACTU</x:v>
      </x:c>
      <x:c r="E42" s="12" t="str">
        <x:v>0603</x:v>
      </x:c>
      <x:c r="F42" s="11" t="n">
        <x:v>1</x:v>
      </x:c>
      <x:c r="G42" s="9" t="str">
        <x:v>背面</x:v>
      </x:c>
      <x:c r="H42" s="9" t="str">
        <x:v>SPECIFICATION_FROZEN_PREFERRED_BOM</x:v>
      </x:c>
      <x:c r="I42" s="9" t="str"/>
      <x:c r="J42" s="9" t="str">
        <x:v>精度：10%；耐压：&gt;=50V；介质：X7R</x:v>
      </x:c>
      <x:c r="K42" s="9" t="str">
        <x:v>X100_Physical:Official_Capacitor_SMD_C_0603_1608Metric</x:v>
      </x:c>
      <x:c r="L42" s="9" t="str">
        <x:v>https://s.taobao.com/search?q=KEMET%20C0603C104K5RACTU%200603</x:v>
      </x:c>
      <x:c r="M42" s="9" t="str">
        <x:v>https://www.yageogroup.com/component-documentation/download/specsheet/C0603C104K5RACTU</x:v>
      </x:c>
    </x:row>
    <x:row r="43" ht="48" customHeight="1">
      <x:c r="A43" s="9" t="str">
        <x:v>C212</x:v>
      </x:c>
      <x:c r="B43" s="9" t="str">
        <x:v>100n reset</x:v>
      </x:c>
      <x:c r="C43" s="9" t="str">
        <x:v>KEMET</x:v>
      </x:c>
      <x:c r="D43" s="10" t="str">
        <x:v>C0805C104K5RACTU</x:v>
      </x:c>
      <x:c r="E43" s="12" t="str">
        <x:v>0805</x:v>
      </x:c>
      <x:c r="F43" s="11" t="n">
        <x:v>1</x:v>
      </x:c>
      <x:c r="G43" s="9" t="str">
        <x:v>背面</x:v>
      </x:c>
      <x:c r="H43" s="9" t="str">
        <x:v>SPECIFICATION_FROZEN_PREFERRED_BOM</x:v>
      </x:c>
      <x:c r="I43" s="9" t="str"/>
      <x:c r="J43" s="9" t="str">
        <x:v>精度：10%；耐压：&gt;=50V；介质：X7R</x:v>
      </x:c>
      <x:c r="K43" s="9" t="str">
        <x:v>X100_Physical:Official_Capacitor_SMD_C_0805_2012Metric</x:v>
      </x:c>
      <x:c r="L43" s="9" t="str">
        <x:v>https://s.taobao.com/search?q=KEMET%20C0805C104K5RACTU%200805</x:v>
      </x:c>
      <x:c r="M43" s="9" t="str">
        <x:v>https://www.yageogroup.com/component-documentation/download/specsheet/C0805C104K5RACTU</x:v>
      </x:c>
    </x:row>
    <x:row r="44" ht="48" customHeight="1">
      <x:c r="A44" s="9" t="str">
        <x:v>C213</x:v>
      </x:c>
      <x:c r="B44" s="9" t="str">
        <x:v>33p C0G /0805</x:v>
      </x:c>
      <x:c r="C44" s="9" t="str">
        <x:v>YAGEO</x:v>
      </x:c>
      <x:c r="D44" s="10" t="str">
        <x:v>CC0805JRNPO9BN330</x:v>
      </x:c>
      <x:c r="E44" s="12" t="str">
        <x:v>0805</x:v>
      </x:c>
      <x:c r="F44" s="11" t="n">
        <x:v>1</x:v>
      </x:c>
      <x:c r="G44" s="9" t="str">
        <x:v>正面</x:v>
      </x:c>
      <x:c r="H44" s="9" t="str">
        <x:v>SPECIFICATION_FROZEN_PREFERRED_BOM</x:v>
      </x:c>
      <x:c r="I44" s="9" t="str"/>
      <x:c r="J44" s="9" t="str">
        <x:v>精度：5%；耐压：&gt;=50V；介质：C0G/NP0</x:v>
      </x:c>
      <x:c r="K44" s="9" t="str">
        <x:v>X100_Physical:Official_Capacitor_SMD_C_0805_2012Metric</x:v>
      </x:c>
      <x:c r="L44" s="9" t="str">
        <x:v>https://s.taobao.com/search?q=YAGEO%20CC0805JRNPO9BN330%200805</x:v>
      </x:c>
      <x:c r="M44" s="9" t="str">
        <x:v>https://www.yageogroup.com/component-documentation/download/specsheet/CC0805JRNPO9BN330</x:v>
      </x:c>
    </x:row>
    <x:row r="45" ht="48" customHeight="1">
      <x:c r="A45" s="9" t="str">
        <x:v>C214</x:v>
      </x:c>
      <x:c r="B45" s="9" t="str">
        <x:v>33p C0G /0805</x:v>
      </x:c>
      <x:c r="C45" s="9" t="str">
        <x:v>YAGEO</x:v>
      </x:c>
      <x:c r="D45" s="10" t="str">
        <x:v>CC0805JRNPO9BN330</x:v>
      </x:c>
      <x:c r="E45" s="12" t="str">
        <x:v>0805</x:v>
      </x:c>
      <x:c r="F45" s="11" t="n">
        <x:v>1</x:v>
      </x:c>
      <x:c r="G45" s="9" t="str">
        <x:v>正面</x:v>
      </x:c>
      <x:c r="H45" s="9" t="str">
        <x:v>SPECIFICATION_FROZEN_PREFERRED_BOM</x:v>
      </x:c>
      <x:c r="I45" s="9" t="str"/>
      <x:c r="J45" s="9" t="str">
        <x:v>精度：5%；耐压：&gt;=50V；介质：C0G/NP0</x:v>
      </x:c>
      <x:c r="K45" s="9" t="str">
        <x:v>X100_Physical:Official_Capacitor_SMD_C_0805_2012Metric</x:v>
      </x:c>
      <x:c r="L45" s="9" t="str">
        <x:v>https://s.taobao.com/search?q=YAGEO%20CC0805JRNPO9BN330%200805</x:v>
      </x:c>
      <x:c r="M45" s="9" t="str">
        <x:v>https://www.yageogroup.com/component-documentation/download/specsheet/CC0805JRNPO9BN330</x:v>
      </x:c>
    </x:row>
    <x:row r="46" ht="48" customHeight="1">
      <x:c r="A46" s="9" t="str">
        <x:v>C301</x:v>
      </x:c>
      <x:c r="B46" s="9" t="str">
        <x:v>100n VDD3 loop</x:v>
      </x:c>
      <x:c r="C46" s="9" t="str">
        <x:v>KEMET</x:v>
      </x:c>
      <x:c r="D46" s="10" t="str">
        <x:v>C0603C104K5RACTU</x:v>
      </x:c>
      <x:c r="E46" s="12" t="str">
        <x:v>0603</x:v>
      </x:c>
      <x:c r="F46" s="11" t="n">
        <x:v>1</x:v>
      </x:c>
      <x:c r="G46" s="9" t="str">
        <x:v>背面</x:v>
      </x:c>
      <x:c r="H46" s="9" t="str">
        <x:v>SPECIFICATION_FROZEN_PREFERRED_BOM</x:v>
      </x:c>
      <x:c r="I46" s="9" t="str"/>
      <x:c r="J46" s="9" t="str">
        <x:v>精度：10%；耐压：&gt;=50V；介质：X7R</x:v>
      </x:c>
      <x:c r="K46" s="9" t="str">
        <x:v>X100_Physical:Official_Capacitor_SMD_C_0603_1608Metric</x:v>
      </x:c>
      <x:c r="L46" s="9" t="str">
        <x:v>https://s.taobao.com/search?q=KEMET%20C0603C104K5RACTU%200603</x:v>
      </x:c>
      <x:c r="M46" s="9" t="str">
        <x:v>https://www.yageogroup.com/component-documentation/download/specsheet/C0603C104K5RACTU</x:v>
      </x:c>
    </x:row>
    <x:row r="47" ht="48" customHeight="1">
      <x:c r="A47" s="9" t="str">
        <x:v>C302</x:v>
      </x:c>
      <x:c r="B47" s="9" t="str">
        <x:v>100n VDDIO11 loop</x:v>
      </x:c>
      <x:c r="C47" s="9" t="str">
        <x:v>KEMET</x:v>
      </x:c>
      <x:c r="D47" s="10" t="str">
        <x:v>C0603C104K5RACTU</x:v>
      </x:c>
      <x:c r="E47" s="12" t="str">
        <x:v>0603</x:v>
      </x:c>
      <x:c r="F47" s="11" t="n">
        <x:v>1</x:v>
      </x:c>
      <x:c r="G47" s="9" t="str">
        <x:v>正面</x:v>
      </x:c>
      <x:c r="H47" s="9" t="str">
        <x:v>SPECIFICATION_FROZEN_PREFERRED_BOM</x:v>
      </x:c>
      <x:c r="I47" s="9" t="str"/>
      <x:c r="J47" s="9" t="str">
        <x:v>精度：10%；耐压：&gt;=50V；介质：X7R</x:v>
      </x:c>
      <x:c r="K47" s="9" t="str">
        <x:v>X100_Physical:Official_Capacitor_SMD_C_0603_1608Metric</x:v>
      </x:c>
      <x:c r="L47" s="9" t="str">
        <x:v>https://s.taobao.com/search?q=KEMET%20C0603C104K5RACTU%200603</x:v>
      </x:c>
      <x:c r="M47" s="9" t="str">
        <x:v>https://www.yageogroup.com/component-documentation/download/specsheet/C0603C104K5RACTU</x:v>
      </x:c>
    </x:row>
    <x:row r="48" ht="48" customHeight="1">
      <x:c r="A48" s="9" t="str">
        <x:v>C303</x:v>
      </x:c>
      <x:c r="B48" s="9" t="str">
        <x:v>100n SPL VDD8</x:v>
      </x:c>
      <x:c r="C48" s="9" t="str">
        <x:v>KEMET</x:v>
      </x:c>
      <x:c r="D48" s="10" t="str">
        <x:v>C0603C104K5RACTU</x:v>
      </x:c>
      <x:c r="E48" s="12" t="str">
        <x:v>0603</x:v>
      </x:c>
      <x:c r="F48" s="11" t="n">
        <x:v>1</x:v>
      </x:c>
      <x:c r="G48" s="9" t="str">
        <x:v>正面</x:v>
      </x:c>
      <x:c r="H48" s="9" t="str">
        <x:v>SPECIFICATION_FROZEN_PREFERRED_BOM</x:v>
      </x:c>
      <x:c r="I48" s="9" t="str"/>
      <x:c r="J48" s="9" t="str">
        <x:v>精度：10%；耐压：&gt;=50V；介质：X7R</x:v>
      </x:c>
      <x:c r="K48" s="9" t="str">
        <x:v>X100_Physical:Official_Capacitor_SMD_C_0603_1608Metric</x:v>
      </x:c>
      <x:c r="L48" s="9" t="str">
        <x:v>https://s.taobao.com/search?q=KEMET%20C0603C104K5RACTU%200603</x:v>
      </x:c>
      <x:c r="M48" s="9" t="str">
        <x:v>https://www.yageogroup.com/component-documentation/download/specsheet/C0603C104K5RACTU</x:v>
      </x:c>
    </x:row>
    <x:row r="49" ht="48" customHeight="1">
      <x:c r="A49" s="9" t="str">
        <x:v>C304</x:v>
      </x:c>
      <x:c r="B49" s="9" t="str">
        <x:v>100n SPL VDDIO6</x:v>
      </x:c>
      <x:c r="C49" s="9" t="str">
        <x:v>KEMET</x:v>
      </x:c>
      <x:c r="D49" s="10" t="str">
        <x:v>C0603C104K5RACTU</x:v>
      </x:c>
      <x:c r="E49" s="12" t="str">
        <x:v>0603</x:v>
      </x:c>
      <x:c r="F49" s="11" t="n">
        <x:v>1</x:v>
      </x:c>
      <x:c r="G49" s="9" t="str">
        <x:v>正面</x:v>
      </x:c>
      <x:c r="H49" s="9" t="str">
        <x:v>SPECIFICATION_FROZEN_PREFERRED_BOM</x:v>
      </x:c>
      <x:c r="I49" s="9" t="str"/>
      <x:c r="J49" s="9" t="str">
        <x:v>精度：10%；耐压：&gt;=50V；介质：X7R</x:v>
      </x:c>
      <x:c r="K49" s="9" t="str">
        <x:v>X100_Physical:Official_Capacitor_SMD_C_0603_1608Metric</x:v>
      </x:c>
      <x:c r="L49" s="9" t="str">
        <x:v>https://s.taobao.com/search?q=KEMET%20C0603C104K5RACTU%200603</x:v>
      </x:c>
      <x:c r="M49" s="9" t="str">
        <x:v>https://www.yageogroup.com/component-documentation/download/specsheet/C0603C104K5RACTU</x:v>
      </x:c>
    </x:row>
    <x:row r="50" ht="48" customHeight="1">
      <x:c r="A50" s="9" t="str">
        <x:v>C401</x:v>
      </x:c>
      <x:c r="B50" s="9" t="str">
        <x:v>100n clamp bypass only</x:v>
      </x:c>
      <x:c r="C50" s="9" t="str">
        <x:v>KEMET</x:v>
      </x:c>
      <x:c r="D50" s="10" t="str">
        <x:v>C0805C104K5RACTU</x:v>
      </x:c>
      <x:c r="E50" s="12" t="str">
        <x:v>0805</x:v>
      </x:c>
      <x:c r="F50" s="11" t="n">
        <x:v>1</x:v>
      </x:c>
      <x:c r="G50" s="9" t="str">
        <x:v>背面</x:v>
      </x:c>
      <x:c r="H50" s="9" t="str">
        <x:v>SPECIFICATION_FROZEN_PREFERRED_BOM</x:v>
      </x:c>
      <x:c r="I50" s="9" t="str"/>
      <x:c r="J50" s="9" t="str">
        <x:v>精度：10%；耐压：&gt;=50V；介质：X7R</x:v>
      </x:c>
      <x:c r="K50" s="9" t="str">
        <x:v>X100_Physical:Official_Capacitor_SMD_C_0805_2012Metric</x:v>
      </x:c>
      <x:c r="L50" s="9" t="str">
        <x:v>https://s.taobao.com/search?q=KEMET%20C0805C104K5RACTU%200805</x:v>
      </x:c>
      <x:c r="M50" s="9" t="str">
        <x:v>https://www.yageogroup.com/component-documentation/download/specsheet/C0805C104K5RACTU</x:v>
      </x:c>
    </x:row>
    <x:row r="51" ht="48" customHeight="1">
      <x:c r="A51" s="9" t="str">
        <x:v>C402</x:v>
      </x:c>
      <x:c r="B51" s="9" t="str">
        <x:v>100n buffer VCC</x:v>
      </x:c>
      <x:c r="C51" s="9" t="str">
        <x:v>KEMET</x:v>
      </x:c>
      <x:c r="D51" s="10" t="str">
        <x:v>C0603C104K5RACTU</x:v>
      </x:c>
      <x:c r="E51" s="12" t="str">
        <x:v>0603</x:v>
      </x:c>
      <x:c r="F51" s="11" t="n">
        <x:v>1</x:v>
      </x:c>
      <x:c r="G51" s="9" t="str">
        <x:v>背面</x:v>
      </x:c>
      <x:c r="H51" s="9" t="str">
        <x:v>SPECIFICATION_FROZEN_PREFERRED_BOM</x:v>
      </x:c>
      <x:c r="I51" s="9" t="str"/>
      <x:c r="J51" s="9" t="str">
        <x:v>精度：10%；耐压：&gt;=50V；介质：X7R</x:v>
      </x:c>
      <x:c r="K51" s="9" t="str">
        <x:v>X100_Physical:Official_Capacitor_SMD_C_0603_1608Metric</x:v>
      </x:c>
      <x:c r="L51" s="9" t="str">
        <x:v>https://s.taobao.com/search?q=KEMET%20C0603C104K5RACTU%200603</x:v>
      </x:c>
      <x:c r="M51" s="9" t="str">
        <x:v>https://www.yageogroup.com/component-documentation/download/specsheet/C0603C104K5RACTU</x:v>
      </x:c>
    </x:row>
    <x:row r="52" ht="48" customHeight="1">
      <x:c r="A52" s="9" t="str">
        <x:v>C501</x:v>
      </x:c>
      <x:c r="B52" s="9" t="str">
        <x:v>100n socket VDD loop</x:v>
      </x:c>
      <x:c r="C52" s="9" t="str">
        <x:v>KEMET</x:v>
      </x:c>
      <x:c r="D52" s="10" t="str">
        <x:v>C0603C104K5RACTU</x:v>
      </x:c>
      <x:c r="E52" s="12" t="str">
        <x:v>0603</x:v>
      </x:c>
      <x:c r="F52" s="11" t="n">
        <x:v>1</x:v>
      </x:c>
      <x:c r="G52" s="9" t="str">
        <x:v>背面</x:v>
      </x:c>
      <x:c r="H52" s="9" t="str">
        <x:v>SPECIFICATION_FROZEN_PREFERRED_BOM</x:v>
      </x:c>
      <x:c r="I52" s="9" t="str"/>
      <x:c r="J52" s="9" t="str">
        <x:v>精度：10%；耐压：&gt;=50V；介质：X7R</x:v>
      </x:c>
      <x:c r="K52" s="9" t="str">
        <x:v>X100_Physical:Official_Capacitor_SMD_C_0603_1608Metric</x:v>
      </x:c>
      <x:c r="L52" s="9" t="str">
        <x:v>https://s.taobao.com/search?q=KEMET%20C0603C104K5RACTU%200603</x:v>
      </x:c>
      <x:c r="M52" s="9" t="str">
        <x:v>https://www.yageogroup.com/component-documentation/download/specsheet/C0603C104K5RACTU</x:v>
      </x:c>
    </x:row>
    <x:row r="53" ht="48" customHeight="1">
      <x:c r="A53" s="9" t="str">
        <x:v>C502</x:v>
      </x:c>
      <x:c r="B53" s="9" t="str">
        <x:v>10u /50V SD local</x:v>
      </x:c>
      <x:c r="C53" s="9" t="str">
        <x:v>KEMET</x:v>
      </x:c>
      <x:c r="D53" s="10" t="str">
        <x:v>C1210C106K5RACTU</x:v>
      </x:c>
      <x:c r="E53" s="12" t="str">
        <x:v>1210</x:v>
      </x:c>
      <x:c r="F53" s="11" t="n">
        <x:v>1</x:v>
      </x:c>
      <x:c r="G53" s="9" t="str">
        <x:v>背面</x:v>
      </x:c>
      <x:c r="H53" s="9" t="str">
        <x:v>SPECIFICATION_FROZEN_PREFERRED_BOM</x:v>
      </x:c>
      <x:c r="I53" s="9" t="str"/>
      <x:c r="J53" s="9" t="str">
        <x:v>精度：10%；耐压：&gt;=50V；介质：X7R</x:v>
      </x:c>
      <x:c r="K53" s="9" t="str">
        <x:v>X100_Physical:Official_Capacitor_SMD_C_1210_3225Metric</x:v>
      </x:c>
      <x:c r="L53" s="9" t="str">
        <x:v>https://s.taobao.com/search?q=KEMET%20C1210C106K5RACTU%201210</x:v>
      </x:c>
      <x:c r="M53" s="9" t="str">
        <x:v>https://www.yageogroup.com/component-documentation/download/specsheet/C1210C106K5RACTU</x:v>
      </x:c>
    </x:row>
    <x:row r="54" ht="48" customHeight="1">
      <x:c r="A54" s="9" t="str">
        <x:v>C601</x:v>
      </x:c>
      <x:c r="B54" s="9" t="str">
        <x:v>100n VCC3 loop</x:v>
      </x:c>
      <x:c r="C54" s="9" t="str">
        <x:v>KEMET</x:v>
      </x:c>
      <x:c r="D54" s="10" t="str">
        <x:v>C0603C104K5RACTU</x:v>
      </x:c>
      <x:c r="E54" s="12" t="str">
        <x:v>0603</x:v>
      </x:c>
      <x:c r="F54" s="11" t="n">
        <x:v>1</x:v>
      </x:c>
      <x:c r="G54" s="9" t="str">
        <x:v>背面</x:v>
      </x:c>
      <x:c r="H54" s="9" t="str">
        <x:v>SPECIFICATION_FROZEN_PREFERRED_BOM</x:v>
      </x:c>
      <x:c r="I54" s="9" t="str"/>
      <x:c r="J54" s="9" t="str">
        <x:v>精度：10%；耐压：&gt;=50V；介质：X7R</x:v>
      </x:c>
      <x:c r="K54" s="9" t="str">
        <x:v>X100_Physical:Official_Capacitor_SMD_C_0603_1608Metric</x:v>
      </x:c>
      <x:c r="L54" s="9" t="str">
        <x:v>https://s.taobao.com/search?q=KEMET%20C0603C104K5RACTU%200603</x:v>
      </x:c>
      <x:c r="M54" s="9" t="str">
        <x:v>https://www.yageogroup.com/component-documentation/download/specsheet/C0603C104K5RACTU</x:v>
      </x:c>
    </x:row>
    <x:row r="55" ht="48" customHeight="1">
      <x:c r="A55" s="9" t="str">
        <x:v>C801</x:v>
      </x:c>
      <x:c r="B55" s="9" t="str">
        <x:v>100n ADC LPF</x:v>
      </x:c>
      <x:c r="C55" s="9" t="str">
        <x:v>KEMET</x:v>
      </x:c>
      <x:c r="D55" s="10" t="str">
        <x:v>C0805C104K5RACTU</x:v>
      </x:c>
      <x:c r="E55" s="12" t="str">
        <x:v>0805</x:v>
      </x:c>
      <x:c r="F55" s="11" t="n">
        <x:v>1</x:v>
      </x:c>
      <x:c r="G55" s="9" t="str">
        <x:v>正面</x:v>
      </x:c>
      <x:c r="H55" s="9" t="str">
        <x:v>SPECIFICATION_FROZEN_PREFERRED_BOM</x:v>
      </x:c>
      <x:c r="I55" s="9" t="str"/>
      <x:c r="J55" s="9" t="str">
        <x:v>精度：10%；耐压：&gt;=50V；介质：X7R</x:v>
      </x:c>
      <x:c r="K55" s="9" t="str">
        <x:v>X100_Physical:Official_Capacitor_SMD_C_0805_2012Metric</x:v>
      </x:c>
      <x:c r="L55" s="9" t="str">
        <x:v>https://s.taobao.com/search?q=KEMET%20C0805C104K5RACTU%200805</x:v>
      </x:c>
      <x:c r="M55" s="9" t="str">
        <x:v>https://www.yageogroup.com/component-documentation/download/specsheet/C0805C104K5RACTU</x:v>
      </x:c>
    </x:row>
    <x:row r="56" ht="48" customHeight="1">
      <x:c r="A56" s="9" t="str">
        <x:v>C802</x:v>
      </x:c>
      <x:c r="B56" s="9" t="str">
        <x:v>100n X7R 50V</x:v>
      </x:c>
      <x:c r="C56" s="9" t="str">
        <x:v>KEMET</x:v>
      </x:c>
      <x:c r="D56" s="10" t="str">
        <x:v>C0805C104K5RACTU</x:v>
      </x:c>
      <x:c r="E56" s="12" t="str">
        <x:v>0805</x:v>
      </x:c>
      <x:c r="F56" s="11" t="n">
        <x:v>1</x:v>
      </x:c>
      <x:c r="G56" s="9" t="str">
        <x:v>背面</x:v>
      </x:c>
      <x:c r="H56" s="9" t="str">
        <x:v>SPECIFICATION_FROZEN_PREFERRED_BOM</x:v>
      </x:c>
      <x:c r="I56" s="9" t="str"/>
      <x:c r="J56" s="9" t="str">
        <x:v>精度：10%；耐压：&gt;=50V；介质：X7R</x:v>
      </x:c>
      <x:c r="K56" s="9" t="str">
        <x:v>X100_Physical:Official_Capacitor_SMD_C_0805_2012Metric</x:v>
      </x:c>
      <x:c r="L56" s="9" t="str">
        <x:v>https://s.taobao.com/search?q=KEMET%20C0805C104K5RACTU%200805</x:v>
      </x:c>
      <x:c r="M56" s="9" t="str">
        <x:v>https://www.yageogroup.com/component-documentation/download/specsheet/C0805C104K5RACTU</x:v>
      </x:c>
    </x:row>
    <x:row r="57" ht="48" customHeight="1">
      <x:c r="A57" s="9" t="str">
        <x:v>C803</x:v>
      </x:c>
      <x:c r="B57" s="9" t="str">
        <x:v>22n X7R 50V ADC reservoir</x:v>
      </x:c>
      <x:c r="C57" s="9" t="str">
        <x:v>KEMET</x:v>
      </x:c>
      <x:c r="D57" s="10" t="str">
        <x:v>C0805C223K5RACTU</x:v>
      </x:c>
      <x:c r="E57" s="12" t="str">
        <x:v>0805</x:v>
      </x:c>
      <x:c r="F57" s="11" t="n">
        <x:v>1</x:v>
      </x:c>
      <x:c r="G57" s="9" t="str">
        <x:v>正面</x:v>
      </x:c>
      <x:c r="H57" s="9" t="str">
        <x:v>SPECIFICATION_FROZEN_PREFERRED_BOM</x:v>
      </x:c>
      <x:c r="I57" s="9" t="str"/>
      <x:c r="J57" s="9" t="str">
        <x:v>精度：10%；耐压：&gt;=50V；介质：X7R</x:v>
      </x:c>
      <x:c r="K57" s="9" t="str">
        <x:v>X100_Physical:Official_Capacitor_SMD_C_0805_2012Metric</x:v>
      </x:c>
      <x:c r="L57" s="9" t="str">
        <x:v>https://s.taobao.com/search?q=KEMET%20C0805C223K5RACTU%200805</x:v>
      </x:c>
      <x:c r="M57" s="9" t="str">
        <x:v>https://www.yageogroup.com/component-documentation/download/specsheet/C0805C223K5RACTU</x:v>
      </x:c>
    </x:row>
    <x:row r="58" ht="48" customHeight="1">
      <x:c r="A58" s="9" t="str">
        <x:v>C804</x:v>
      </x:c>
      <x:c r="B58" s="9" t="str">
        <x:v>22n X7R 50V ADC reservoir</x:v>
      </x:c>
      <x:c r="C58" s="9" t="str">
        <x:v>KEMET</x:v>
      </x:c>
      <x:c r="D58" s="10" t="str">
        <x:v>C0805C223K5RACTU</x:v>
      </x:c>
      <x:c r="E58" s="12" t="str">
        <x:v>0805</x:v>
      </x:c>
      <x:c r="F58" s="11" t="n">
        <x:v>1</x:v>
      </x:c>
      <x:c r="G58" s="9" t="str">
        <x:v>正面</x:v>
      </x:c>
      <x:c r="H58" s="9" t="str">
        <x:v>SPECIFICATION_FROZEN_PREFERRED_BOM</x:v>
      </x:c>
      <x:c r="I58" s="9" t="str"/>
      <x:c r="J58" s="9" t="str">
        <x:v>精度：10%；耐压：&gt;=50V；介质：X7R</x:v>
      </x:c>
      <x:c r="K58" s="9" t="str">
        <x:v>X100_Physical:Official_Capacitor_SMD_C_0805_2012Metric</x:v>
      </x:c>
      <x:c r="L58" s="9" t="str">
        <x:v>https://s.taobao.com/search?q=KEMET%20C0805C223K5RACTU%200805</x:v>
      </x:c>
      <x:c r="M58" s="9" t="str">
        <x:v>https://www.yageogroup.com/component-documentation/download/specsheet/C0805C223K5RACTU</x:v>
      </x:c>
    </x:row>
    <x:row r="59" ht="48" customHeight="1">
      <x:c r="A59" s="9" t="str">
        <x:v>C805</x:v>
      </x:c>
      <x:c r="B59" s="9" t="str">
        <x:v>100n U801 VDD14</x:v>
      </x:c>
      <x:c r="C59" s="9" t="str">
        <x:v>KEMET</x:v>
      </x:c>
      <x:c r="D59" s="10" t="str">
        <x:v>C0603C104K5RACTU</x:v>
      </x:c>
      <x:c r="E59" s="12" t="str">
        <x:v>0603</x:v>
      </x:c>
      <x:c r="F59" s="11" t="n">
        <x:v>1</x:v>
      </x:c>
      <x:c r="G59" s="9" t="str">
        <x:v>正面</x:v>
      </x:c>
      <x:c r="H59" s="9" t="str">
        <x:v>SPECIFICATION_FROZEN_PREFERRED_BOM</x:v>
      </x:c>
      <x:c r="I59" s="9" t="str"/>
      <x:c r="J59" s="9" t="str">
        <x:v>精度：10%；耐压：&gt;=50V；介质：X7R</x:v>
      </x:c>
      <x:c r="K59" s="9" t="str">
        <x:v>X100_Physical:Official_Capacitor_SMD_C_0603_1608Metric</x:v>
      </x:c>
      <x:c r="L59" s="9" t="str">
        <x:v>https://s.taobao.com/search?q=KEMET%20C0603C104K5RACTU%200603</x:v>
      </x:c>
      <x:c r="M59" s="9" t="str">
        <x:v>https://www.yageogroup.com/component-documentation/download/specsheet/C0603C104K5RACTU</x:v>
      </x:c>
    </x:row>
    <x:row r="60" ht="48" customHeight="1">
      <x:c r="A60" s="9" t="str">
        <x:v>D101</x:v>
      </x:c>
      <x:c r="B60" s="9" t="str">
        <x:v>12V VGS clamp K=source</x:v>
      </x:c>
      <x:c r="C60" s="9" t="str">
        <x:v>Nexperia</x:v>
      </x:c>
      <x:c r="D60" s="10" t="str">
        <x:v>BZT52H-C12,115</x:v>
      </x:c>
      <x:c r="E60" s="10" t="str">
        <x:v>SOD123F</x:v>
      </x:c>
      <x:c r="F60" s="11" t="n">
        <x:v>1</x:v>
      </x:c>
      <x:c r="G60" s="9" t="str">
        <x:v>背面</x:v>
      </x:c>
      <x:c r="H60" s="9" t="str">
        <x:v>EXACT_MPN_FROZEN</x:v>
      </x:c>
      <x:c r="I60" s="9" t="str"/>
      <x:c r="J60" s="9" t="str"/>
      <x:c r="K60" s="9" t="str">
        <x:v>X100_Physical:Official_Diode_SMD_D_SOD-123F</x:v>
      </x:c>
      <x:c r="L60" s="9" t="str">
        <x:v>https://s.taobao.com/search?q=Nexperia%20BZT52H-C12%2C115%20SOD123F</x:v>
      </x:c>
      <x:c r="M60" s="9" t="str">
        <x:v>https://assets.nexperia.com/documents/data-sheet/BZT52H_SER.pdf</x:v>
      </x:c>
    </x:row>
    <x:row r="61" ht="48" customHeight="1">
      <x:c r="A61" s="9" t="str">
        <x:v>D102</x:v>
      </x:c>
      <x:c r="B61" s="9" t="str">
        <x:v>26V bidirectional TVS</x:v>
      </x:c>
      <x:c r="C61" s="9" t="str">
        <x:v>ST</x:v>
      </x:c>
      <x:c r="D61" s="10" t="str">
        <x:v>SMBJ26CA-TR</x:v>
      </x:c>
      <x:c r="E61" s="10" t="str">
        <x:v>SMB DO214AA</x:v>
      </x:c>
      <x:c r="F61" s="11" t="n">
        <x:v>1</x:v>
      </x:c>
      <x:c r="G61" s="9" t="str">
        <x:v>正面</x:v>
      </x:c>
      <x:c r="H61" s="9" t="str">
        <x:v>EXACT_MPN_FROZEN</x:v>
      </x:c>
      <x:c r="I61" s="9" t="str"/>
      <x:c r="J61" s="9" t="str"/>
      <x:c r="K61" s="9" t="str">
        <x:v>X100_Physical:Official_Diode_SMD_D_SMB</x:v>
      </x:c>
      <x:c r="L61" s="9" t="str">
        <x:v>https://s.taobao.com/search?q=ST%20SMBJ26CA-TR%20SMB%20DO214AA</x:v>
      </x:c>
      <x:c r="M61" s="9" t="str">
        <x:v>https://www.st.com/resource/en/datasheet/smbj26ca.pdf</x:v>
      </x:c>
    </x:row>
    <x:row r="62" ht="48" customHeight="1">
      <x:c r="A62" s="9" t="str">
        <x:v>D103</x:v>
      </x:c>
      <x:c r="B62" s="9" t="str">
        <x:v>STPS8H100G-TR</x:v>
      </x:c>
      <x:c r="C62" s="9" t="str">
        <x:v>ST</x:v>
      </x:c>
      <x:c r="D62" s="10" t="str">
        <x:v>STPS8H100G-TR</x:v>
      </x:c>
      <x:c r="E62" s="10" t="str">
        <x:v>D2PAK A/K/tabK</x:v>
      </x:c>
      <x:c r="F62" s="11" t="n">
        <x:v>1</x:v>
      </x:c>
      <x:c r="G62" s="9" t="str">
        <x:v>背面</x:v>
      </x:c>
      <x:c r="H62" s="9" t="str">
        <x:v>EXACT_MPN_FROZEN</x:v>
      </x:c>
      <x:c r="I62" s="9" t="str"/>
      <x:c r="J62" s="9" t="str"/>
      <x:c r="K62" s="9" t="str">
        <x:v>X100_Physical:STPS8H100G_D2PAK_A_K_TabK_NoVIP</x:v>
      </x:c>
      <x:c r="L62" s="9" t="str">
        <x:v>https://s.taobao.com/search?q=ST%20STPS8H100G-TR%20D2PAK%20A/K/tabK</x:v>
      </x:c>
      <x:c r="M62" s="9" t="str">
        <x:v>https://www.st.com/resource/en/datasheet/stps8h100.pdf</x:v>
      </x:c>
    </x:row>
    <x:row r="63" ht="48" customHeight="1">
      <x:c r="A63" s="9" t="str">
        <x:v>D201</x:v>
      </x:c>
      <x:c r="B63" s="9" t="str">
        <x:v>GREEN; PB0 HIGH=ON</x:v>
      </x:c>
      <x:c r="C63" s="9" t="str">
        <x:v>Lite-On</x:v>
      </x:c>
      <x:c r="D63" s="10" t="str">
        <x:v>LTST-C170GKT</x:v>
      </x:c>
      <x:c r="E63" s="10" t="str">
        <x:v>0805 LED</x:v>
      </x:c>
      <x:c r="F63" s="11" t="n">
        <x:v>1</x:v>
      </x:c>
      <x:c r="G63" s="9" t="str">
        <x:v>正面</x:v>
      </x:c>
      <x:c r="H63" s="9" t="str">
        <x:v>EXACT_MPN_FROZEN</x:v>
      </x:c>
      <x:c r="I63" s="9" t="str"/>
      <x:c r="J63" s="9" t="str"/>
      <x:c r="K63" s="9" t="str">
        <x:v>X100_Physical:Official_LED_SMD_LED_0805_2012Metric</x:v>
      </x:c>
      <x:c r="L63" s="9" t="str">
        <x:v>https://s.taobao.com/search?q=Lite-On%20LTST-C170GKT%200805%20LED</x:v>
      </x:c>
      <x:c r="M63" s="9" t="str">
        <x:v>https://optoelectronics.liteon.com/upload/download/DS22-2000-003/LTST-C170GKT.pdf</x:v>
      </x:c>
    </x:row>
    <x:row r="64" ht="48" customHeight="1">
      <x:c r="A64" s="9" t="str">
        <x:v>D202</x:v>
      </x:c>
      <x:c r="B64" s="9" t="str">
        <x:v>GREEN; 3V3_MCU_PRESENT</x:v>
      </x:c>
      <x:c r="C64" s="9" t="str">
        <x:v>Lite-On</x:v>
      </x:c>
      <x:c r="D64" s="10" t="str">
        <x:v>LTST-C170GKT</x:v>
      </x:c>
      <x:c r="E64" s="10" t="str">
        <x:v>0805 LED</x:v>
      </x:c>
      <x:c r="F64" s="11" t="n">
        <x:v>1</x:v>
      </x:c>
      <x:c r="G64" s="9" t="str">
        <x:v>正面</x:v>
      </x:c>
      <x:c r="H64" s="9" t="str">
        <x:v>EXACT_MPN_AUTHORIZED_PCB01F3; same LED as D201; not ordered</x:v>
      </x:c>
      <x:c r="I64" s="9" t="str"/>
      <x:c r="J64" s="9" t="str"/>
      <x:c r="K64" s="9" t="str">
        <x:v>X100_Physical:Official_LED_SMD_LED_0805_2012Metric</x:v>
      </x:c>
      <x:c r="L64" s="9" t="str">
        <x:v>https://s.taobao.com/search?q=Lite-On%20LTST-C170GKT%200805%20LED</x:v>
      </x:c>
      <x:c r="M64" s="9" t="str">
        <x:v>https://optoelectronics.liteon.com/upload/download/DS22-2000-003/LTST-C170GKT.pdf</x:v>
      </x:c>
    </x:row>
    <x:row r="65" ht="48" customHeight="1">
      <x:c r="A65" s="9" t="str">
        <x:v>F101</x:v>
      </x:c>
      <x:c r="B65" s="9" t="str">
        <x:v>3A /125V</x:v>
      </x:c>
      <x:c r="C65" s="9" t="str">
        <x:v>Littelfuse</x:v>
      </x:c>
      <x:c r="D65" s="10" t="str">
        <x:v>0451003.MRL</x:v>
      </x:c>
      <x:c r="E65" s="10" t="str">
        <x:v>NANO2 451 SMD</x:v>
      </x:c>
      <x:c r="F65" s="11" t="n">
        <x:v>1</x:v>
      </x:c>
      <x:c r="G65" s="9" t="str">
        <x:v>正面</x:v>
      </x:c>
      <x:c r="H65" s="9" t="str">
        <x:v>EXACT_MPN_FROZEN</x:v>
      </x:c>
      <x:c r="I65" s="9" t="str"/>
      <x:c r="J65" s="9" t="str"/>
      <x:c r="K65" s="9" t="str">
        <x:v>X100_Physical:Official_Fuse_Fuse_Littelfuse-NANO2-451_453</x:v>
      </x:c>
      <x:c r="L65" s="9" t="str">
        <x:v>https://s.taobao.com/search?q=Littelfuse%200451003.MRL%20NANO2%20451%20SMD</x:v>
      </x:c>
      <x:c r="M65" s="9" t="str">
        <x:v>https://www.littelfuse.com/assetdocs/fuse-451-and-453-datasheet?assetguid=533cd5cc-956c-4243-867f-6ab5a62f6ba1</x:v>
      </x:c>
    </x:row>
    <x:row r="66" ht="48" customHeight="1">
      <x:c r="A66" s="9" t="str">
        <x:v>J401</x:v>
      </x:c>
      <x:c r="B66" s="9" t="str">
        <x:v>124019772112A</x:v>
      </x:c>
      <x:c r="C66" s="9" t="str">
        <x:v>Amphenol</x:v>
      </x:c>
      <x:c r="D66" s="10" t="str">
        <x:v>124019772112A</x:v>
      </x:c>
      <x:c r="E66" s="10" t="str">
        <x:v>USB-C dual-row SMT / 4 plated SH slots</x:v>
      </x:c>
      <x:c r="F66" s="11" t="n">
        <x:v>1</x:v>
      </x:c>
      <x:c r="G66" s="9" t="str">
        <x:v>正面</x:v>
      </x:c>
      <x:c r="H66" s="9" t="str">
        <x:v>EXACT_MPN_FROZEN</x:v>
      </x:c>
      <x:c r="I66" s="9" t="str">
        <x:v>DESIGN_REVIEWED_BENCH_PENDING</x:v>
      </x:c>
      <x:c r="J66" s="9" t="str"/>
      <x:c r="K66" s="9" t="str">
        <x:v>X100_Physical:Official_USB_C_Amphenol_124019772112A</x:v>
      </x:c>
      <x:c r="L66" s="9" t="str">
        <x:v>https://s.taobao.com/search?q=Amphenol%20124019772112A%20USB-C%20dual-row%20SMT%20/%204%20plated%20SH%20slots</x:v>
      </x:c>
      <x:c r="M66" s="9" t="str">
        <x:v>https://cdn.amphenol-cs.com/media/wysiwyg/files/drawing/c12401977-3.pdf</x:v>
      </x:c>
    </x:row>
    <x:row r="67" ht="48" customHeight="1">
      <x:c r="A67" s="9" t="str">
        <x:v>J501</x:v>
      </x:c>
      <x:c r="B67" s="9" t="str">
        <x:v>1040310811</x:v>
      </x:c>
      <x:c r="C67" s="9" t="str">
        <x:v>Molex</x:v>
      </x:c>
      <x:c r="D67" s="10" t="str">
        <x:v>1040310811</x:v>
      </x:c>
      <x:c r="E67" s="10" t="str">
        <x:v>microSD SMT push-pull8+2detect</x:v>
      </x:c>
      <x:c r="F67" s="11" t="n">
        <x:v>1</x:v>
      </x:c>
      <x:c r="G67" s="9" t="str">
        <x:v>正面</x:v>
      </x:c>
      <x:c r="H67" s="9" t="str">
        <x:v>EXACT_MPN_FROZEN</x:v>
      </x:c>
      <x:c r="I67" s="9" t="str"/>
      <x:c r="J67" s="9" t="str"/>
      <x:c r="K67" s="9" t="str">
        <x:v>X100_Physical:Official_Connector_Card_microSD_HC_Molex_104031-0811</x:v>
      </x:c>
      <x:c r="L67" s="9" t="str">
        <x:v>https://s.taobao.com/search?q=Molex%201040310811%20microSD%20SMT%20push-pull8%2B2detect</x:v>
      </x:c>
      <x:c r="M67" s="9" t="str">
        <x:v>https://www.molex.com/pdm_docs/sd/1040310811_sd.pdf</x:v>
      </x:c>
    </x:row>
    <x:row r="68" ht="48" customHeight="1">
      <x:c r="A68" s="9" t="str">
        <x:v>J601</x:v>
      </x:c>
      <x:c r="B68" s="9" t="str">
        <x:v>SM04B-GHS-TB(LF)(SN)</x:v>
      </x:c>
      <x:c r="C68" s="9" t="str">
        <x:v>JST</x:v>
      </x:c>
      <x:c r="D68" s="10" t="str">
        <x:v>SM04B-GHS-TB(LF)(SN)</x:v>
      </x:c>
      <x:c r="E68" s="10" t="str">
        <x:v>GH1.25 4P side-entry SMT</x:v>
      </x:c>
      <x:c r="F68" s="11" t="n">
        <x:v>1</x:v>
      </x:c>
      <x:c r="G68" s="9" t="str">
        <x:v>正面</x:v>
      </x:c>
      <x:c r="H68" s="9" t="str">
        <x:v>EXACT_MPN_FROZEN</x:v>
      </x:c>
      <x:c r="I68" s="9" t="str"/>
      <x:c r="J68" s="9" t="str"/>
      <x:c r="K68" s="9" t="str">
        <x:v>X100_Physical:Official_Connector_JST_JST_GH_SM04B-GHS-TB_1x04-1MP_P1.25mm_Horizontal</x:v>
      </x:c>
      <x:c r="L68" s="9" t="str">
        <x:v>https://s.taobao.com/search?q=JST%20SM04B-GHS-TB%28LF%29%28SN%29%20GH1.25%204P%20side-entry%20SMT</x:v>
      </x:c>
      <x:c r="M68" s="9" t="str">
        <x:v>https://www.jst-mfg.com/product/pdf/eng/eGH.pdf</x:v>
      </x:c>
    </x:row>
    <x:row r="69" ht="48" customHeight="1">
      <x:c r="A69" s="9" t="str">
        <x:v>J701</x:v>
      </x:c>
      <x:c r="B69" s="9" t="str">
        <x:v>SM06B-GHS-TB(LF)(SN)</x:v>
      </x:c>
      <x:c r="C69" s="9" t="str">
        <x:v>JST</x:v>
      </x:c>
      <x:c r="D69" s="10" t="str">
        <x:v>SM06B-GHS-TB(LF)(SN)</x:v>
      </x:c>
      <x:c r="E69" s="10" t="str">
        <x:v>GH1.25 6P side-entry SMT</x:v>
      </x:c>
      <x:c r="F69" s="11" t="n">
        <x:v>1</x:v>
      </x:c>
      <x:c r="G69" s="9" t="str">
        <x:v>正面</x:v>
      </x:c>
      <x:c r="H69" s="9" t="str">
        <x:v>EXACT_MPN_FROZEN</x:v>
      </x:c>
      <x:c r="I69" s="9" t="str"/>
      <x:c r="J69" s="9" t="str"/>
      <x:c r="K69" s="9" t="str">
        <x:v>X100_Physical:Official_Connector_JST_JST_GH_SM06B-GHS-TB_1x06-1MP_P1.25mm_Horizontal</x:v>
      </x:c>
      <x:c r="L69" s="9" t="str">
        <x:v>https://s.taobao.com/search?q=JST%20SM06B-GHS-TB%28LF%29%28SN%29%20GH1.25%206P%20side-entry%20SMT</x:v>
      </x:c>
      <x:c r="M69" s="9" t="str">
        <x:v>https://www.jst-mfg.com/product/pdf/eng/eGH.pdf</x:v>
      </x:c>
    </x:row>
    <x:row r="70" ht="48" customHeight="1">
      <x:c r="A70" s="9" t="str">
        <x:v>J702</x:v>
      </x:c>
      <x:c r="B70" s="9" t="str">
        <x:v>SM06B-GHS-TB(LF)(SN)</x:v>
      </x:c>
      <x:c r="C70" s="9" t="str">
        <x:v>JST</x:v>
      </x:c>
      <x:c r="D70" s="10" t="str">
        <x:v>SM06B-GHS-TB(LF)(SN)</x:v>
      </x:c>
      <x:c r="E70" s="10" t="str">
        <x:v>GH1.25 6P side-entry SMT</x:v>
      </x:c>
      <x:c r="F70" s="11" t="n">
        <x:v>1</x:v>
      </x:c>
      <x:c r="G70" s="9" t="str">
        <x:v>正面</x:v>
      </x:c>
      <x:c r="H70" s="9" t="str">
        <x:v>EXACT_MPN_FROZEN</x:v>
      </x:c>
      <x:c r="I70" s="9" t="str"/>
      <x:c r="J70" s="9" t="str"/>
      <x:c r="K70" s="9" t="str">
        <x:v>X100_Physical:Official_Connector_JST_JST_GH_SM06B-GHS-TB_1x06-1MP_P1.25mm_Horizontal</x:v>
      </x:c>
      <x:c r="L70" s="9" t="str">
        <x:v>https://s.taobao.com/search?q=JST%20SM06B-GHS-TB%28LF%29%28SN%29%20GH1.25%206P%20side-entry%20SMT</x:v>
      </x:c>
      <x:c r="M70" s="9" t="str">
        <x:v>https://www.jst-mfg.com/product/pdf/eng/eGH.pdf</x:v>
      </x:c>
    </x:row>
    <x:row r="71" ht="48" customHeight="1">
      <x:c r="A71" s="9" t="str">
        <x:v>J703</x:v>
      </x:c>
      <x:c r="B71" s="9" t="str">
        <x:v>SM06B-GHS-TB(LF)(SN)</x:v>
      </x:c>
      <x:c r="C71" s="9" t="str">
        <x:v>JST</x:v>
      </x:c>
      <x:c r="D71" s="10" t="str">
        <x:v>SM06B-GHS-TB(LF)(SN)</x:v>
      </x:c>
      <x:c r="E71" s="10" t="str">
        <x:v>GH1.25 6P side-entry SMT</x:v>
      </x:c>
      <x:c r="F71" s="11" t="n">
        <x:v>1</x:v>
      </x:c>
      <x:c r="G71" s="9" t="str">
        <x:v>正面</x:v>
      </x:c>
      <x:c r="H71" s="9" t="str">
        <x:v>EXACT_MPN_FROZEN</x:v>
      </x:c>
      <x:c r="I71" s="9" t="str"/>
      <x:c r="J71" s="9" t="str"/>
      <x:c r="K71" s="9" t="str">
        <x:v>X100_Physical:Official_Connector_JST_JST_GH_SM06B-GHS-TB_1x06-1MP_P1.25mm_Horizontal</x:v>
      </x:c>
      <x:c r="L71" s="9" t="str">
        <x:v>https://s.taobao.com/search?q=JST%20SM06B-GHS-TB%28LF%29%28SN%29%20GH1.25%206P%20side-entry%20SMT</x:v>
      </x:c>
      <x:c r="M71" s="9" t="str">
        <x:v>https://www.jst-mfg.com/product/pdf/eng/eGH.pdf</x:v>
      </x:c>
    </x:row>
    <x:row r="72" ht="48" customHeight="1">
      <x:c r="A72" s="9" t="str">
        <x:v>J704</x:v>
      </x:c>
      <x:c r="B72" s="9" t="str">
        <x:v>SM04B-GHS-TB(LF)(SN)</x:v>
      </x:c>
      <x:c r="C72" s="9" t="str">
        <x:v>JST</x:v>
      </x:c>
      <x:c r="D72" s="10" t="str">
        <x:v>SM04B-GHS-TB(LF)(SN)</x:v>
      </x:c>
      <x:c r="E72" s="10" t="str">
        <x:v>GH1.25 4P side-entry SMT</x:v>
      </x:c>
      <x:c r="F72" s="11" t="n">
        <x:v>1</x:v>
      </x:c>
      <x:c r="G72" s="9" t="str">
        <x:v>正面</x:v>
      </x:c>
      <x:c r="H72" s="9" t="str">
        <x:v>EXACT_MPN_FROZEN</x:v>
      </x:c>
      <x:c r="I72" s="9" t="str"/>
      <x:c r="J72" s="9" t="str"/>
      <x:c r="K72" s="9" t="str">
        <x:v>X100_Physical:Official_Connector_JST_JST_GH_SM04B-GHS-TB_1x04-1MP_P1.25mm_Horizontal</x:v>
      </x:c>
      <x:c r="L72" s="9" t="str">
        <x:v>https://s.taobao.com/search?q=JST%20SM04B-GHS-TB%28LF%29%28SN%29%20GH1.25%204P%20side-entry%20SMT</x:v>
      </x:c>
      <x:c r="M72" s="9" t="str">
        <x:v>https://www.jst-mfg.com/product/pdf/eng/eGH.pdf</x:v>
      </x:c>
    </x:row>
    <x:row r="73" ht="48" customHeight="1">
      <x:c r="A73" s="9" t="str">
        <x:v>J801</x:v>
      </x:c>
      <x:c r="B73" s="9" t="str">
        <x:v>OUT1 /GND</x:v>
      </x:c>
      <x:c r="C73" s="9" t="str">
        <x:v>Samtec</x:v>
      </x:c>
      <x:c r="D73" s="10" t="str">
        <x:v>TSW-102-07-G-S</x:v>
      </x:c>
      <x:c r="E73" s="10" t="str">
        <x:v>1x2 2.54 THT top insertion</x:v>
      </x:c>
      <x:c r="F73" s="11" t="n">
        <x:v>1</x:v>
      </x:c>
      <x:c r="G73" s="9" t="str">
        <x:v>正面</x:v>
      </x:c>
      <x:c r="H73" s="9" t="str">
        <x:v>EXACT_MPN_FROZEN</x:v>
      </x:c>
      <x:c r="I73" s="9" t="str"/>
      <x:c r="J73" s="9" t="str"/>
      <x:c r="K73" s="9" t="str">
        <x:v>X100_Physical:Samtec_TSW10207GS_1x2_P2p54</x:v>
      </x:c>
      <x:c r="L73" s="9" t="str">
        <x:v>https://s.taobao.com/search?q=Samtec%20TSW-102-07-G-S%201x2%202.54%20THT%20top%20insertion</x:v>
      </x:c>
      <x:c r="M73" s="9" t="str">
        <x:v>https://www.samtec.com/products/tsw-102-07-g-s</x:v>
      </x:c>
    </x:row>
    <x:row r="74" ht="48" customHeight="1">
      <x:c r="A74" s="9" t="str">
        <x:v>J802</x:v>
      </x:c>
      <x:c r="B74" s="9" t="str">
        <x:v>OUT2 /GND</x:v>
      </x:c>
      <x:c r="C74" s="9" t="str">
        <x:v>Samtec</x:v>
      </x:c>
      <x:c r="D74" s="10" t="str">
        <x:v>TSW-102-07-G-S</x:v>
      </x:c>
      <x:c r="E74" s="10" t="str">
        <x:v>1x2 2.54 THT top insertion</x:v>
      </x:c>
      <x:c r="F74" s="11" t="n">
        <x:v>1</x:v>
      </x:c>
      <x:c r="G74" s="9" t="str">
        <x:v>正面</x:v>
      </x:c>
      <x:c r="H74" s="9" t="str">
        <x:v>EXACT_MPN_FROZEN</x:v>
      </x:c>
      <x:c r="I74" s="9" t="str"/>
      <x:c r="J74" s="9" t="str"/>
      <x:c r="K74" s="9" t="str">
        <x:v>X100_Physical:Samtec_TSW10207GS_1x2_P2p54</x:v>
      </x:c>
      <x:c r="L74" s="9" t="str">
        <x:v>https://s.taobao.com/search?q=Samtec%20TSW-102-07-G-S%201x2%202.54%20THT%20top%20insertion</x:v>
      </x:c>
      <x:c r="M74" s="9" t="str">
        <x:v>https://www.samtec.com/products/tsw-102-07-g-s</x:v>
      </x:c>
    </x:row>
    <x:row r="75" ht="48" customHeight="1">
      <x:c r="A75" s="9" t="str">
        <x:v>J803</x:v>
      </x:c>
      <x:c r="B75" s="9" t="str">
        <x:v>OUT3 /GND</x:v>
      </x:c>
      <x:c r="C75" s="9" t="str">
        <x:v>Samtec</x:v>
      </x:c>
      <x:c r="D75" s="10" t="str">
        <x:v>TSW-102-07-G-S</x:v>
      </x:c>
      <x:c r="E75" s="10" t="str">
        <x:v>1x2 2.54 THT top insertion</x:v>
      </x:c>
      <x:c r="F75" s="11" t="n">
        <x:v>1</x:v>
      </x:c>
      <x:c r="G75" s="9" t="str">
        <x:v>正面</x:v>
      </x:c>
      <x:c r="H75" s="9" t="str">
        <x:v>EXACT_MPN_FROZEN</x:v>
      </x:c>
      <x:c r="I75" s="9" t="str"/>
      <x:c r="J75" s="9" t="str"/>
      <x:c r="K75" s="9" t="str">
        <x:v>X100_Physical:Samtec_TSW10207GS_1x2_P2p54</x:v>
      </x:c>
      <x:c r="L75" s="9" t="str">
        <x:v>https://s.taobao.com/search?q=Samtec%20TSW-102-07-G-S%201x2%202.54%20THT%20top%20insertion</x:v>
      </x:c>
      <x:c r="M75" s="9" t="str">
        <x:v>https://www.samtec.com/products/tsw-102-07-g-s</x:v>
      </x:c>
    </x:row>
    <x:row r="76" ht="48" customHeight="1">
      <x:c r="A76" s="9" t="str">
        <x:v>J804</x:v>
      </x:c>
      <x:c r="B76" s="9" t="str">
        <x:v>OUT4 /GND</x:v>
      </x:c>
      <x:c r="C76" s="9" t="str">
        <x:v>Samtec</x:v>
      </x:c>
      <x:c r="D76" s="10" t="str">
        <x:v>TSW-102-07-G-S</x:v>
      </x:c>
      <x:c r="E76" s="10" t="str">
        <x:v>1x2 2.54 THT top insertion</x:v>
      </x:c>
      <x:c r="F76" s="11" t="n">
        <x:v>1</x:v>
      </x:c>
      <x:c r="G76" s="9" t="str">
        <x:v>正面</x:v>
      </x:c>
      <x:c r="H76" s="9" t="str">
        <x:v>EXACT_MPN_FROZEN</x:v>
      </x:c>
      <x:c r="I76" s="9" t="str"/>
      <x:c r="J76" s="9" t="str"/>
      <x:c r="K76" s="9" t="str">
        <x:v>X100_Physical:Samtec_TSW10207GS_1x2_P2p54</x:v>
      </x:c>
      <x:c r="L76" s="9" t="str">
        <x:v>https://s.taobao.com/search?q=Samtec%20TSW-102-07-G-S%201x2%202.54%20THT%20top%20insertion</x:v>
      </x:c>
      <x:c r="M76" s="9" t="str">
        <x:v>https://www.samtec.com/products/tsw-102-07-g-s</x:v>
      </x:c>
    </x:row>
    <x:row r="77" ht="48" customHeight="1">
      <x:c r="A77" s="9" t="str">
        <x:v>J805</x:v>
      </x:c>
      <x:c r="B77" s="9" t="str">
        <x:v>OUT5 /GND</x:v>
      </x:c>
      <x:c r="C77" s="9" t="str">
        <x:v>Samtec</x:v>
      </x:c>
      <x:c r="D77" s="10" t="str">
        <x:v>TSW-102-07-G-S</x:v>
      </x:c>
      <x:c r="E77" s="10" t="str">
        <x:v>1x2 2.54 THT top insertion</x:v>
      </x:c>
      <x:c r="F77" s="11" t="n">
        <x:v>1</x:v>
      </x:c>
      <x:c r="G77" s="9" t="str">
        <x:v>正面</x:v>
      </x:c>
      <x:c r="H77" s="9" t="str">
        <x:v>EXACT_MPN_FROZEN</x:v>
      </x:c>
      <x:c r="I77" s="9" t="str"/>
      <x:c r="J77" s="9" t="str"/>
      <x:c r="K77" s="9" t="str">
        <x:v>X100_Physical:Samtec_TSW10207GS_1x2_P2p54</x:v>
      </x:c>
      <x:c r="L77" s="9" t="str">
        <x:v>https://s.taobao.com/search?q=Samtec%20TSW-102-07-G-S%201x2%202.54%20THT%20top%20insertion</x:v>
      </x:c>
      <x:c r="M77" s="9" t="str">
        <x:v>https://www.samtec.com/products/tsw-102-07-g-s</x:v>
      </x:c>
    </x:row>
    <x:row r="78" ht="48" customHeight="1">
      <x:c r="A78" s="9" t="str">
        <x:v>J806</x:v>
      </x:c>
      <x:c r="B78" s="9" t="str">
        <x:v>OUT6 /GND</x:v>
      </x:c>
      <x:c r="C78" s="9" t="str">
        <x:v>Samtec</x:v>
      </x:c>
      <x:c r="D78" s="10" t="str">
        <x:v>TSW-102-07-G-S</x:v>
      </x:c>
      <x:c r="E78" s="10" t="str">
        <x:v>1x2 2.54 THT top insertion</x:v>
      </x:c>
      <x:c r="F78" s="11" t="n">
        <x:v>1</x:v>
      </x:c>
      <x:c r="G78" s="9" t="str">
        <x:v>正面</x:v>
      </x:c>
      <x:c r="H78" s="9" t="str">
        <x:v>EXACT_MPN_FROZEN</x:v>
      </x:c>
      <x:c r="I78" s="9" t="str"/>
      <x:c r="J78" s="9" t="str"/>
      <x:c r="K78" s="9" t="str">
        <x:v>X100_Physical:Samtec_TSW10207GS_1x2_P2p54</x:v>
      </x:c>
      <x:c r="L78" s="9" t="str">
        <x:v>https://s.taobao.com/search?q=Samtec%20TSW-102-07-G-S%201x2%202.54%20THT%20top%20insertion</x:v>
      </x:c>
      <x:c r="M78" s="9" t="str">
        <x:v>https://www.samtec.com/products/tsw-102-07-g-s</x:v>
      </x:c>
    </x:row>
    <x:row r="79" ht="48" customHeight="1">
      <x:c r="A79" s="9" t="str">
        <x:v>J807</x:v>
      </x:c>
      <x:c r="B79" s="9" t="str">
        <x:v>SWD:1REF2GND3IO4CLK5NRST</x:v>
      </x:c>
      <x:c r="C79" s="9" t="str">
        <x:v>Samtec</x:v>
      </x:c>
      <x:c r="D79" s="10" t="str">
        <x:v>TSW-105-07-G-S</x:v>
      </x:c>
      <x:c r="E79" s="10" t="str">
        <x:v>1x5 2.54 THT top insertion</x:v>
      </x:c>
      <x:c r="F79" s="11" t="n">
        <x:v>1</x:v>
      </x:c>
      <x:c r="G79" s="9" t="str">
        <x:v>正面</x:v>
      </x:c>
      <x:c r="H79" s="9" t="str">
        <x:v>EXACT_MPN_FROZEN</x:v>
      </x:c>
      <x:c r="I79" s="9" t="str"/>
      <x:c r="J79" s="9" t="str"/>
      <x:c r="K79" s="9" t="str">
        <x:v>X100_Physical:Samtec_TSW10507GS_1x5_P2p54</x:v>
      </x:c>
      <x:c r="L79" s="9" t="str">
        <x:v>https://s.taobao.com/search?q=Samtec%20TSW-105-07-G-S%201x5%202.54%20THT%20top%20insertion</x:v>
      </x:c>
      <x:c r="M79" s="9" t="str">
        <x:v>https://www.samtec.com/products/tsw-105-07-g-s</x:v>
      </x:c>
    </x:row>
    <x:row r="80" ht="48" customHeight="1">
      <x:c r="A80" s="9" t="str">
        <x:v>J809</x:v>
      </x:c>
      <x:c r="B80" s="9" t="str">
        <x:v>CURRENT monitor only</x:v>
      </x:c>
      <x:c r="C80" s="9" t="str">
        <x:v>JST</x:v>
      </x:c>
      <x:c r="D80" s="10" t="str">
        <x:v>SM06B-GHS-TB(LF)(SN)</x:v>
      </x:c>
      <x:c r="E80" s="10" t="str">
        <x:v>GH1.25 6P side-entry SMT</x:v>
      </x:c>
      <x:c r="F80" s="11" t="n">
        <x:v>1</x:v>
      </x:c>
      <x:c r="G80" s="9" t="str">
        <x:v>正面</x:v>
      </x:c>
      <x:c r="H80" s="9" t="str">
        <x:v>EXACT_MPN_FROZEN</x:v>
      </x:c>
      <x:c r="I80" s="9" t="str"/>
      <x:c r="J80" s="9" t="str"/>
      <x:c r="K80" s="9" t="str">
        <x:v>X100_Physical:Official_Connector_JST_JST_GH_SM06B-GHS-TB_1x06-1MP_P1.25mm_Horizontal</x:v>
      </x:c>
      <x:c r="L80" s="9" t="str">
        <x:v>https://s.taobao.com/search?q=JST%20SM06B-GHS-TB%28LF%29%28SN%29%20GH1.25%206P%20side-entry%20SMT</x:v>
      </x:c>
      <x:c r="M80" s="9" t="str">
        <x:v>https://www.jst-mfg.com/product/pdf/eng/eGH.pdf</x:v>
      </x:c>
    </x:row>
    <x:row r="81" ht="48" customHeight="1">
      <x:c r="A81" s="9" t="str">
        <x:v>L101</x:v>
      </x:c>
      <x:c r="B81" s="9" t="str">
        <x:v>10uH</x:v>
      </x:c>
      <x:c r="C81" s="9" t="str">
        <x:v>Bourns</x:v>
      </x:c>
      <x:c r="D81" s="10" t="str">
        <x:v>SRP1038A-100M</x:v>
      </x:c>
      <x:c r="E81" s="10" t="str">
        <x:v>Lead-frame SMD; case max11.5x10.3x4.0mm</x:v>
      </x:c>
      <x:c r="F81" s="11" t="n">
        <x:v>1</x:v>
      </x:c>
      <x:c r="G81" s="9" t="str">
        <x:v>背面</x:v>
      </x:c>
      <x:c r="H81" s="9" t="str">
        <x:v>EXACT_MPN_FROZEN; USER_APPROVED_20261023; NO_PURCHASE</x:v>
      </x:c>
      <x:c r="I81" s="9" t="str">
        <x:v>DATASHEET_AND_LAYOUT_VERIFIED; POWER_REVIEW_OPEN; NO_BENCH_PASS</x:v>
      </x:c>
      <x:c r="J81" s="9" t="str"/>
      <x:c r="K81" s="9" t="str">
        <x:v>X100_Physical:Bourns_SRP1038A_LeadFrame_NoVIP</x:v>
      </x:c>
      <x:c r="L81" s="9" t="str">
        <x:v>https://s.taobao.com/search?q=Bourns%20SRP1038A-100M%20Lead-frame%20SMD%3B%20case%20max11.5x10.3x4.0mm</x:v>
      </x:c>
      <x:c r="M81" s="9" t="str">
        <x:v>https://www.bourns.com/docs/product-datasheets/srp1038a.pdf</x:v>
      </x:c>
    </x:row>
    <x:row r="82" ht="48" customHeight="1">
      <x:c r="A82" s="9" t="str">
        <x:v>L102</x:v>
      </x:c>
      <x:c r="B82" s="9" t="str">
        <x:v>4.7uH design-calculated at 5V</x:v>
      </x:c>
      <x:c r="C82" s="9" t="str">
        <x:v>Bourns</x:v>
      </x:c>
      <x:c r="D82" s="10" t="str">
        <x:v>SRN6045-4R7Y</x:v>
      </x:c>
      <x:c r="E82" s="10" t="str">
        <x:v>6x6x4.5 SMD visible end terminals</x:v>
      </x:c>
      <x:c r="F82" s="11" t="n">
        <x:v>1</x:v>
      </x:c>
      <x:c r="G82" s="9" t="str">
        <x:v>背面</x:v>
      </x:c>
      <x:c r="H82" s="9" t="str">
        <x:v>EXACT_MPN_FROZEN</x:v>
      </x:c>
      <x:c r="I82" s="9" t="str"/>
      <x:c r="J82" s="9" t="str"/>
      <x:c r="K82" s="9" t="str">
        <x:v>X100_Physical:Bourns_SRN6045</x:v>
      </x:c>
      <x:c r="L82" s="9" t="str">
        <x:v>https://s.taobao.com/search?q=Bourns%20SRN6045-4R7Y%206x6x4.5%20SMD%20visible%20end%20terminals</x:v>
      </x:c>
      <x:c r="M82" s="9" t="str">
        <x:v>https://www.bourns.com/docs/product-datasheets/srn6045.pdf</x:v>
      </x:c>
    </x:row>
    <x:row r="83" ht="48" customHeight="1">
      <x:c r="A83" s="9" t="str">
        <x:v>Q101</x:v>
      </x:c>
      <x:c r="B83" s="9" t="str">
        <x:v>DMP6023LSS-13</x:v>
      </x:c>
      <x:c r="C83" s="9" t="str">
        <x:v>Diodes</x:v>
      </x:c>
      <x:c r="D83" s="10" t="str">
        <x:v>DMP6023LSS-13</x:v>
      </x:c>
      <x:c r="E83" s="10" t="str">
        <x:v>SO8</x:v>
      </x:c>
      <x:c r="F83" s="11" t="n">
        <x:v>1</x:v>
      </x:c>
      <x:c r="G83" s="9" t="str">
        <x:v>背面</x:v>
      </x:c>
      <x:c r="H83" s="9" t="str">
        <x:v>EXACT_MPN_FROZEN</x:v>
      </x:c>
      <x:c r="I83" s="9" t="str"/>
      <x:c r="J83" s="9" t="str"/>
      <x:c r="K83" s="9" t="str">
        <x:v>X100_Physical:Official_Package_SO_SOIC-8_3.9x4.9mm_P1.27mm</x:v>
      </x:c>
      <x:c r="L83" s="9" t="str">
        <x:v>https://s.taobao.com/search?q=Diodes%20DMP6023LSS-13%20SO8</x:v>
      </x:c>
      <x:c r="M83" s="9" t="str">
        <x:v>https://www.diodes.com/assets/Datasheets/DMP6023LSS.pdf</x:v>
      </x:c>
    </x:row>
    <x:row r="84" ht="48" customHeight="1">
      <x:c r="A84" s="9" t="str">
        <x:v>R101</x:v>
      </x:c>
      <x:c r="B84" s="9" t="str">
        <x:v>20k</x:v>
      </x:c>
      <x:c r="C84" s="9" t="str">
        <x:v>YAGEO</x:v>
      </x:c>
      <x:c r="D84" s="10" t="str">
        <x:v>RC0805FR-0720KL</x:v>
      </x:c>
      <x:c r="E84" s="12" t="str">
        <x:v>0805</x:v>
      </x:c>
      <x:c r="F84" s="11" t="n">
        <x:v>1</x:v>
      </x:c>
      <x:c r="G84" s="9" t="str">
        <x:v>背面</x:v>
      </x:c>
      <x:c r="H84" s="9" t="str">
        <x:v>SPECIFICATION_FROZEN_PREFERRED_BOM</x:v>
      </x:c>
      <x:c r="I84" s="9" t="str"/>
      <x:c r="J84" s="9" t="str">
        <x:v>精度：1%; TCR&lt;=100ppm/C；耐压：&gt;=100V；功率：&gt;=0.125W</x:v>
      </x:c>
      <x:c r="K84" s="9" t="str">
        <x:v>X100_Physical:Official_Resistor_SMD_R_0805_2012Metric</x:v>
      </x:c>
      <x:c r="L84" s="9" t="str">
        <x:v>https://s.taobao.com/search?q=YAGEO%20RC0805FR-0720KL%200805</x:v>
      </x:c>
      <x:c r="M84" s="9" t="str">
        <x:v>https://www.yageogroup.com/component-documentation/download/specsheet/RC0805FR-0720KL</x:v>
      </x:c>
    </x:row>
    <x:row r="85" ht="48" customHeight="1">
      <x:c r="A85" s="9" t="str">
        <x:v>R102</x:v>
      </x:c>
      <x:c r="B85" s="9" t="str">
        <x:v>294k</x:v>
      </x:c>
      <x:c r="C85" s="9" t="str">
        <x:v>YAGEO</x:v>
      </x:c>
      <x:c r="D85" s="10" t="str">
        <x:v>RC0805FR-07294KL</x:v>
      </x:c>
      <x:c r="E85" s="12" t="str">
        <x:v>0805</x:v>
      </x:c>
      <x:c r="F85" s="11" t="n">
        <x:v>1</x:v>
      </x:c>
      <x:c r="G85" s="9" t="str">
        <x:v>背面</x:v>
      </x:c>
      <x:c r="H85" s="9" t="str">
        <x:v>SPECIFICATION_FROZEN_PREFERRED_BOM</x:v>
      </x:c>
      <x:c r="I85" s="9" t="str"/>
      <x:c r="J85" s="9" t="str">
        <x:v>精度：1%; TCR&lt;=100ppm/C；耐压：&gt;=100V；功率：&gt;=0.125W</x:v>
      </x:c>
      <x:c r="K85" s="9" t="str">
        <x:v>X100_Physical:Official_Resistor_SMD_R_0805_2012Metric</x:v>
      </x:c>
      <x:c r="L85" s="9" t="str">
        <x:v>https://s.taobao.com/search?q=YAGEO%20RC0805FR-07294KL%200805</x:v>
      </x:c>
      <x:c r="M85" s="9" t="str">
        <x:v>https://www.yageogroup.com/component-documentation/download/specsheet/RC0805FR-07294KL</x:v>
      </x:c>
    </x:row>
    <x:row r="86" ht="48" customHeight="1">
      <x:c r="A86" s="9" t="str">
        <x:v>R103</x:v>
      </x:c>
      <x:c r="B86" s="9" t="str">
        <x:v>54.9k</x:v>
      </x:c>
      <x:c r="C86" s="9" t="str">
        <x:v>YAGEO</x:v>
      </x:c>
      <x:c r="D86" s="10" t="str">
        <x:v>RC0805FR-0754K9L</x:v>
      </x:c>
      <x:c r="E86" s="12" t="str">
        <x:v>0805</x:v>
      </x:c>
      <x:c r="F86" s="11" t="n">
        <x:v>1</x:v>
      </x:c>
      <x:c r="G86" s="9" t="str">
        <x:v>背面</x:v>
      </x:c>
      <x:c r="H86" s="9" t="str">
        <x:v>SPECIFICATION_FROZEN_PREFERRED_BOM</x:v>
      </x:c>
      <x:c r="I86" s="9" t="str"/>
      <x:c r="J86" s="9" t="str">
        <x:v>精度：1%; TCR&lt;=100ppm/C；耐压：&gt;=100V；功率：&gt;=0.125W</x:v>
      </x:c>
      <x:c r="K86" s="9" t="str">
        <x:v>X100_Physical:Official_Resistor_SMD_R_0805_2012Metric</x:v>
      </x:c>
      <x:c r="L86" s="9" t="str">
        <x:v>https://s.taobao.com/search?q=YAGEO%20RC0805FR-0754K9L%200805</x:v>
      </x:c>
      <x:c r="M86" s="9" t="str">
        <x:v>https://www.yageogroup.com/component-documentation/download/specsheet/RC0805FR-0754K9L</x:v>
      </x:c>
    </x:row>
    <x:row r="87" ht="48" customHeight="1">
      <x:c r="A87" s="9" t="str">
        <x:v>R104</x:v>
      </x:c>
      <x:c r="B87" s="9" t="str">
        <x:v>200k</x:v>
      </x:c>
      <x:c r="C87" s="9" t="str">
        <x:v>YAGEO</x:v>
      </x:c>
      <x:c r="D87" s="10" t="str">
        <x:v>RC0805FR-07200KL</x:v>
      </x:c>
      <x:c r="E87" s="12" t="str">
        <x:v>0805</x:v>
      </x:c>
      <x:c r="F87" s="11" t="n">
        <x:v>1</x:v>
      </x:c>
      <x:c r="G87" s="9" t="str">
        <x:v>背面</x:v>
      </x:c>
      <x:c r="H87" s="9" t="str">
        <x:v>SPECIFICATION_FROZEN_PREFERRED_BOM</x:v>
      </x:c>
      <x:c r="I87" s="9" t="str"/>
      <x:c r="J87" s="9" t="str">
        <x:v>精度：1%; TCR&lt;=100ppm/C；耐压：&gt;=100V；功率：&gt;=0.125W</x:v>
      </x:c>
      <x:c r="K87" s="9" t="str">
        <x:v>X100_Physical:Official_Resistor_SMD_R_0805_2012Metric</x:v>
      </x:c>
      <x:c r="L87" s="9" t="str">
        <x:v>https://s.taobao.com/search?q=YAGEO%20RC0805FR-07200KL%200805</x:v>
      </x:c>
      <x:c r="M87" s="9" t="str">
        <x:v>https://www.yageogroup.com/component-documentation/download/specsheet/RC0805FR-07200KL</x:v>
      </x:c>
    </x:row>
    <x:row r="88" ht="48" customHeight="1">
      <x:c r="A88" s="9" t="str">
        <x:v>R105</x:v>
      </x:c>
      <x:c r="B88" s="9" t="str">
        <x:v>53.6k 0.1%</x:v>
      </x:c>
      <x:c r="C88" s="9" t="str">
        <x:v>YAGEO</x:v>
      </x:c>
      <x:c r="D88" s="10" t="str">
        <x:v>RT0805BRD0753K6L</x:v>
      </x:c>
      <x:c r="E88" s="12" t="str">
        <x:v>0805</x:v>
      </x:c>
      <x:c r="F88" s="11" t="n">
        <x:v>1</x:v>
      </x:c>
      <x:c r="G88" s="9" t="str">
        <x:v>背面</x:v>
      </x:c>
      <x:c r="H88" s="9" t="str">
        <x:v>CANDIDATE_ONLY; DOMESTIC_SOURCE_NOT_VERIFIED; NO_PURCHASE</x:v>
      </x:c>
      <x:c r="I88" s="9" t="str">
        <x:v>HUMAN_APPROVED_CANDIDATE_ONLY; 5Vsetpointpaperreviewpending; notfinalselected</x:v>
      </x:c>
      <x:c r="J88" s="9" t="str">
        <x:v>精度：0.1%; TCR&lt;=25ppm/C；耐压：&gt;=100V；功率：&gt;=0.125W</x:v>
      </x:c>
      <x:c r="K88" s="9" t="str">
        <x:v>X100_Physical:Official_Resistor_SMD_R_0805_2012Metric</x:v>
      </x:c>
      <x:c r="L88" s="9" t="str">
        <x:v>https://s.taobao.com/search?q=YAGEO%20RT0805BRD0753K6L%200805</x:v>
      </x:c>
      <x:c r="M88" s="9" t="str">
        <x:v>https://www.yageogroup.com/component-documentation/download/specsheet/RT0805BRD0753K6L</x:v>
      </x:c>
    </x:row>
    <x:row r="89" ht="48" customHeight="1">
      <x:c r="A89" s="9" t="str">
        <x:v>R106</x:v>
      </x:c>
      <x:c r="B89" s="9" t="str">
        <x:v>10k 0.1%</x:v>
      </x:c>
      <x:c r="C89" s="9" t="str">
        <x:v>YAGEO</x:v>
      </x:c>
      <x:c r="D89" s="10" t="str">
        <x:v>RT0805BRD0710KL</x:v>
      </x:c>
      <x:c r="E89" s="12" t="str">
        <x:v>0805</x:v>
      </x:c>
      <x:c r="F89" s="11" t="n">
        <x:v>1</x:v>
      </x:c>
      <x:c r="G89" s="9" t="str">
        <x:v>背面</x:v>
      </x:c>
      <x:c r="H89" s="9" t="str">
        <x:v>SPECIFICATION_FROZEN_PREFERRED_BOM</x:v>
      </x:c>
      <x:c r="I89" s="9" t="str"/>
      <x:c r="J89" s="9" t="str">
        <x:v>精度：0.1%; TCR&lt;=25ppm/C；耐压：&gt;=100V；功率：&gt;=0.125W</x:v>
      </x:c>
      <x:c r="K89" s="9" t="str">
        <x:v>X100_Physical:Official_Resistor_SMD_R_0805_2012Metric</x:v>
      </x:c>
      <x:c r="L89" s="9" t="str">
        <x:v>https://s.taobao.com/search?q=YAGEO%20RT0805BRD0710KL%200805</x:v>
      </x:c>
      <x:c r="M89" s="9" t="str">
        <x:v>https://www.yageogroup.com/component-documentation/download/specsheet/RT0805BRD0710KL</x:v>
      </x:c>
    </x:row>
    <x:row r="90" ht="48" customHeight="1">
      <x:c r="A90" s="9" t="str">
        <x:v>R107</x:v>
      </x:c>
      <x:c r="B90" s="9" t="str">
        <x:v>18.7k</x:v>
      </x:c>
      <x:c r="C90" s="9" t="str">
        <x:v>YAGEO</x:v>
      </x:c>
      <x:c r="D90" s="10" t="str">
        <x:v>RC0805FR-0718K7L</x:v>
      </x:c>
      <x:c r="E90" s="12" t="str">
        <x:v>0805</x:v>
      </x:c>
      <x:c r="F90" s="11" t="n">
        <x:v>1</x:v>
      </x:c>
      <x:c r="G90" s="9" t="str">
        <x:v>背面</x:v>
      </x:c>
      <x:c r="H90" s="9" t="str">
        <x:v>SPECIFICATION_FROZEN_PREFERRED_BOM</x:v>
      </x:c>
      <x:c r="I90" s="9" t="str"/>
      <x:c r="J90" s="9" t="str">
        <x:v>精度：1%; TCR&lt;=100ppm/C；耐压：&gt;=100V；功率：&gt;=0.125W</x:v>
      </x:c>
      <x:c r="K90" s="9" t="str">
        <x:v>X100_Physical:Official_Resistor_SMD_R_0805_2012Metric</x:v>
      </x:c>
      <x:c r="L90" s="9" t="str">
        <x:v>https://s.taobao.com/search?q=YAGEO%20RC0805FR-0718K7L%200805</x:v>
      </x:c>
      <x:c r="M90" s="9" t="str">
        <x:v>https://www.yageogroup.com/component-documentation/download/specsheet/RC0805FR-0718K7L</x:v>
      </x:c>
    </x:row>
    <x:row r="91" ht="48" customHeight="1">
      <x:c r="A91" s="9" t="str">
        <x:v>R108</x:v>
      </x:c>
      <x:c r="B91" s="9" t="str">
        <x:v>10R RC sensor filter</x:v>
      </x:c>
      <x:c r="C91" s="9" t="str">
        <x:v>YAGEO</x:v>
      </x:c>
      <x:c r="D91" s="10" t="str">
        <x:v>RC0805FR-0710RL</x:v>
      </x:c>
      <x:c r="E91" s="12" t="str">
        <x:v>0805</x:v>
      </x:c>
      <x:c r="F91" s="11" t="n">
        <x:v>1</x:v>
      </x:c>
      <x:c r="G91" s="9" t="str">
        <x:v>背面</x:v>
      </x:c>
      <x:c r="H91" s="9" t="str">
        <x:v>SPECIFICATION_FROZEN_PREFERRED_BOM</x:v>
      </x:c>
      <x:c r="I91" s="9" t="str"/>
      <x:c r="J91" s="9" t="str">
        <x:v>精度：1%; TCR&lt;=100ppm/C；耐压：&gt;=100V；功率：&gt;=0.125W</x:v>
      </x:c>
      <x:c r="K91" s="9" t="str">
        <x:v>X100_Physical:Official_Resistor_SMD_R_0805_2012Metric</x:v>
      </x:c>
      <x:c r="L91" s="9" t="str">
        <x:v>https://s.taobao.com/search?q=YAGEO%20RC0805FR-0710RL%200805</x:v>
      </x:c>
      <x:c r="M91" s="9" t="str">
        <x:v>https://www.yageogroup.com/component-documentation/download/specsheet/RC0805FR-0710RL</x:v>
      </x:c>
    </x:row>
    <x:row r="92" ht="48" customHeight="1">
      <x:c r="A92" s="9" t="str">
        <x:v>R109</x:v>
      </x:c>
      <x:c r="B92" s="9" t="str">
        <x:v>22.1k limit</x:v>
      </x:c>
      <x:c r="C92" s="9" t="str">
        <x:v>YAGEO</x:v>
      </x:c>
      <x:c r="D92" s="10" t="str">
        <x:v>RC0805FR-0722K1L</x:v>
      </x:c>
      <x:c r="E92" s="12" t="str">
        <x:v>0805</x:v>
      </x:c>
      <x:c r="F92" s="11" t="n">
        <x:v>1</x:v>
      </x:c>
      <x:c r="G92" s="9" t="str">
        <x:v>背面</x:v>
      </x:c>
      <x:c r="H92" s="9" t="str">
        <x:v>SPECIFICATION_FROZEN_PREFERRED_BOM</x:v>
      </x:c>
      <x:c r="I92" s="9" t="str"/>
      <x:c r="J92" s="9" t="str">
        <x:v>精度：1%; TCR&lt;=100ppm/C；耐压：&gt;=100V；功率：&gt;=0.125W</x:v>
      </x:c>
      <x:c r="K92" s="9" t="str">
        <x:v>X100_Physical:Official_Resistor_SMD_R_0805_2012Metric</x:v>
      </x:c>
      <x:c r="L92" s="9" t="str">
        <x:v>https://s.taobao.com/search?q=YAGEO%20RC0805FR-0722K1L%200805</x:v>
      </x:c>
      <x:c r="M92" s="9" t="str">
        <x:v>https://www.yageogroup.com/component-documentation/download/specsheet/RC0805FR-0722K1L</x:v>
      </x:c>
    </x:row>
    <x:row r="93" ht="48" customHeight="1">
      <x:c r="A93" s="9" t="str">
        <x:v>R110</x:v>
      </x:c>
      <x:c r="B93" s="9" t="str">
        <x:v>10k FAULT pullup</x:v>
      </x:c>
      <x:c r="C93" s="9" t="str">
        <x:v>YAGEO</x:v>
      </x:c>
      <x:c r="D93" s="10" t="str">
        <x:v>RC0805FR-0710KL</x:v>
      </x:c>
      <x:c r="E93" s="12" t="str">
        <x:v>0805</x:v>
      </x:c>
      <x:c r="F93" s="11" t="n">
        <x:v>1</x:v>
      </x:c>
      <x:c r="G93" s="9" t="str">
        <x:v>背面</x:v>
      </x:c>
      <x:c r="H93" s="9" t="str">
        <x:v>SPECIFICATION_FROZEN_PREFERRED_BOM</x:v>
      </x:c>
      <x:c r="I93" s="9" t="str"/>
      <x:c r="J93" s="9" t="str">
        <x:v>精度：1%; TCR&lt;=100ppm/C；耐压：&gt;=100V；功率：&gt;=0.125W</x:v>
      </x:c>
      <x:c r="K93" s="9" t="str">
        <x:v>X100_Physical:Official_Resistor_SMD_R_0805_2012Metric</x:v>
      </x:c>
      <x:c r="L93" s="9" t="str">
        <x:v>https://s.taobao.com/search?q=YAGEO%20RC0805FR-0710KL%200805</x:v>
      </x:c>
      <x:c r="M93" s="9" t="str">
        <x:v>https://www.yageogroup.com/component-documentation/download/specsheet/RC0805FR-0710KL</x:v>
      </x:c>
    </x:row>
    <x:row r="94" ht="48" customHeight="1">
      <x:c r="A94" s="9" t="str">
        <x:v>R111</x:v>
      </x:c>
      <x:c r="B94" s="9" t="str">
        <x:v>33.2k 0.1%</x:v>
      </x:c>
      <x:c r="C94" s="9" t="str">
        <x:v>Yageo</x:v>
      </x:c>
      <x:c r="D94" s="10" t="str">
        <x:v>RT0805BRD0733K2L</x:v>
      </x:c>
      <x:c r="E94" s="10" t="str"/>
      <x:c r="F94" s="11" t="n">
        <x:v>1</x:v>
      </x:c>
      <x:c r="G94" s="9" t="str">
        <x:v>背面</x:v>
      </x:c>
      <x:c r="H94" s="9" t="str">
        <x:v>VALUE_SPEC_CONTROLLED; preferred MPN; availability not checked</x:v>
      </x:c>
      <x:c r="I94" s="9" t="str">
        <x:v>CANDIDATE; native ERC checked; functional/current/DFM not complete</x:v>
      </x:c>
      <x:c r="J94" s="9" t="str"/>
      <x:c r="K94" s="9" t="str">
        <x:v>X100_Physical:Official_Resistor_SMD_R_0805_2012Metric</x:v>
      </x:c>
      <x:c r="L94" s="9" t="str">
        <x:v>https://s.taobao.com/search?q=Yageo%20RT0805BRD0733K2L%20</x:v>
      </x:c>
      <x:c r="M94" s="9" t="str"/>
    </x:row>
    <x:row r="95" ht="48" customHeight="1">
      <x:c r="A95" s="9" t="str">
        <x:v>R112</x:v>
      </x:c>
      <x:c r="B95" s="9" t="str">
        <x:v>10k 0.1%</x:v>
      </x:c>
      <x:c r="C95" s="9" t="str">
        <x:v>Yageo</x:v>
      </x:c>
      <x:c r="D95" s="10" t="str">
        <x:v>RT0805BRD0710KL</x:v>
      </x:c>
      <x:c r="E95" s="10" t="str"/>
      <x:c r="F95" s="11" t="n">
        <x:v>1</x:v>
      </x:c>
      <x:c r="G95" s="9" t="str">
        <x:v>背面</x:v>
      </x:c>
      <x:c r="H95" s="9" t="str">
        <x:v>VALUE_SPEC_CONTROLLED; preferred MPN; availability not checked</x:v>
      </x:c>
      <x:c r="I95" s="9" t="str">
        <x:v>CANDIDATE; native ERC checked; functional/current/DFM not complete</x:v>
      </x:c>
      <x:c r="J95" s="9" t="str"/>
      <x:c r="K95" s="9" t="str">
        <x:v>X100_Physical:Official_Resistor_SMD_R_0805_2012Metric</x:v>
      </x:c>
      <x:c r="L95" s="9" t="str">
        <x:v>https://s.taobao.com/search?q=Yageo%20RT0805BRD0710KL%20</x:v>
      </x:c>
      <x:c r="M95" s="9" t="str"/>
    </x:row>
    <x:row r="96" ht="48" customHeight="1">
      <x:c r="A96" s="9" t="str">
        <x:v>R113</x:v>
      </x:c>
      <x:c r="B96" s="9" t="str">
        <x:v>49.9k 0.1%</x:v>
      </x:c>
      <x:c r="C96" s="9" t="str">
        <x:v>YAGEO</x:v>
      </x:c>
      <x:c r="D96" s="10" t="str">
        <x:v>RT0805BRD0749K9L</x:v>
      </x:c>
      <x:c r="E96" s="10" t="str"/>
      <x:c r="F96" s="11" t="n">
        <x:v>1</x:v>
      </x:c>
      <x:c r="G96" s="9" t="str">
        <x:v>背面</x:v>
      </x:c>
      <x:c r="H96" s="9" t="str">
        <x:v>VALUE_SPEC_CONTROLLED; preferred MPN; availability not checked</x:v>
      </x:c>
      <x:c r="I96" s="9" t="str">
        <x:v>USER_APPROVED_SINGLE_LIMIT; conservative design envelope 473-584mA; first-board measurement pending</x:v>
      </x:c>
      <x:c r="J96" s="9" t="str"/>
      <x:c r="K96" s="9" t="str">
        <x:v>X100_Physical:Official_Resistor_SMD_R_0805_2012Metric</x:v>
      </x:c>
      <x:c r="L96" s="9" t="str">
        <x:v>https://s.taobao.com/search?q=YAGEO%20RT0805BRD0749K9L%20</x:v>
      </x:c>
      <x:c r="M96" s="9" t="str">
        <x:v>https://yageogroup.com/component-documentation/download/specsheet/RT0805BRD0749K9L</x:v>
      </x:c>
    </x:row>
    <x:row r="97" ht="48" customHeight="1">
      <x:c r="A97" s="9" t="str">
        <x:v>R114</x:v>
      </x:c>
      <x:c r="B97" s="9" t="str">
        <x:v>10k ST pull-up</x:v>
      </x:c>
      <x:c r="C97" s="9" t="str">
        <x:v>Yageo</x:v>
      </x:c>
      <x:c r="D97" s="10" t="str">
        <x:v>RC0805FR-0710KL</x:v>
      </x:c>
      <x:c r="E97" s="10" t="str"/>
      <x:c r="F97" s="11" t="n">
        <x:v>1</x:v>
      </x:c>
      <x:c r="G97" s="9" t="str">
        <x:v>背面</x:v>
      </x:c>
      <x:c r="H97" s="9" t="str">
        <x:v>VALUE_SPEC_CONTROLLED; preferred MPN; availability not checked</x:v>
      </x:c>
      <x:c r="I97" s="9" t="str">
        <x:v>CANDIDATE; native ERC checked; functional/current/DFM not complete</x:v>
      </x:c>
      <x:c r="J97" s="9" t="str"/>
      <x:c r="K97" s="9" t="str">
        <x:v>X100_Physical:Official_Resistor_SMD_R_0805_2012Metric</x:v>
      </x:c>
      <x:c r="L97" s="9" t="str">
        <x:v>https://s.taobao.com/search?q=Yageo%20RC0805FR-0710KL%20</x:v>
      </x:c>
      <x:c r="M97" s="9" t="str"/>
    </x:row>
    <x:row r="98" ht="48" customHeight="1">
      <x:c r="A98" s="9" t="str">
        <x:v>R201</x:v>
      </x:c>
      <x:c r="B98" s="9" t="str">
        <x:v>10R VDDA filter</x:v>
      </x:c>
      <x:c r="C98" s="9" t="str">
        <x:v>YAGEO</x:v>
      </x:c>
      <x:c r="D98" s="10" t="str">
        <x:v>RC0805FR-0710RL</x:v>
      </x:c>
      <x:c r="E98" s="12" t="str">
        <x:v>0805</x:v>
      </x:c>
      <x:c r="F98" s="11" t="n">
        <x:v>1</x:v>
      </x:c>
      <x:c r="G98" s="9" t="str">
        <x:v>正面</x:v>
      </x:c>
      <x:c r="H98" s="9" t="str">
        <x:v>SPECIFICATION_FROZEN_PREFERRED_BOM</x:v>
      </x:c>
      <x:c r="I98" s="9" t="str"/>
      <x:c r="J98" s="9" t="str">
        <x:v>精度：1%; TCR&lt;=100ppm/C；耐压：&gt;=100V；功率：&gt;=0.125W</x:v>
      </x:c>
      <x:c r="K98" s="9" t="str">
        <x:v>X100_Physical:Official_Resistor_SMD_R_0805_2012Metric</x:v>
      </x:c>
      <x:c r="L98" s="9" t="str">
        <x:v>https://s.taobao.com/search?q=YAGEO%20RC0805FR-0710RL%200805</x:v>
      </x:c>
      <x:c r="M98" s="9" t="str">
        <x:v>https://www.yageogroup.com/component-documentation/download/specsheet/RC0805FR-0710RL</x:v>
      </x:c>
    </x:row>
    <x:row r="99" ht="48" customHeight="1">
      <x:c r="A99" s="9" t="str">
        <x:v>R203</x:v>
      </x:c>
      <x:c r="B99" s="9" t="str">
        <x:v>10k reset pullup</x:v>
      </x:c>
      <x:c r="C99" s="9" t="str">
        <x:v>YAGEO</x:v>
      </x:c>
      <x:c r="D99" s="10" t="str">
        <x:v>RC0805FR-0710KL</x:v>
      </x:c>
      <x:c r="E99" s="12" t="str">
        <x:v>0805</x:v>
      </x:c>
      <x:c r="F99" s="11" t="n">
        <x:v>1</x:v>
      </x:c>
      <x:c r="G99" s="9" t="str">
        <x:v>背面</x:v>
      </x:c>
      <x:c r="H99" s="9" t="str">
        <x:v>SPECIFICATION_FROZEN_PREFERRED_BOM</x:v>
      </x:c>
      <x:c r="I99" s="9" t="str"/>
      <x:c r="J99" s="9" t="str">
        <x:v>精度：1%; TCR&lt;=100ppm/C；耐压：&gt;=100V；功率：&gt;=0.125W</x:v>
      </x:c>
      <x:c r="K99" s="9" t="str">
        <x:v>X100_Physical:Official_Resistor_SMD_R_0805_2012Metric</x:v>
      </x:c>
      <x:c r="L99" s="9" t="str">
        <x:v>https://s.taobao.com/search?q=YAGEO%20RC0805FR-0710KL%200805</x:v>
      </x:c>
      <x:c r="M99" s="9" t="str">
        <x:v>https://www.yageogroup.com/component-documentation/download/specsheet/RC0805FR-0710KL</x:v>
      </x:c>
    </x:row>
    <x:row r="100" ht="48" customHeight="1">
      <x:c r="A100" s="9" t="str">
        <x:v>R204</x:v>
      </x:c>
      <x:c r="B100" s="9" t="str">
        <x:v>10k BOOT0 default LOW</x:v>
      </x:c>
      <x:c r="C100" s="9" t="str">
        <x:v>YAGEO</x:v>
      </x:c>
      <x:c r="D100" s="10" t="str">
        <x:v>RC0805FR-0710KL</x:v>
      </x:c>
      <x:c r="E100" s="12" t="str">
        <x:v>0805</x:v>
      </x:c>
      <x:c r="F100" s="11" t="n">
        <x:v>1</x:v>
      </x:c>
      <x:c r="G100" s="9" t="str">
        <x:v>背面</x:v>
      </x:c>
      <x:c r="H100" s="9" t="str">
        <x:v>SPECIFICATION_FROZEN_PREFERRED_BOM</x:v>
      </x:c>
      <x:c r="I100" s="9" t="str"/>
      <x:c r="J100" s="9" t="str">
        <x:v>精度：1%; TCR&lt;=100ppm/C；耐压：&gt;=100V；功率：&gt;=0.125W</x:v>
      </x:c>
      <x:c r="K100" s="9" t="str">
        <x:v>X100_Physical:Official_Resistor_SMD_R_0805_2012Metric</x:v>
      </x:c>
      <x:c r="L100" s="9" t="str">
        <x:v>https://s.taobao.com/search?q=YAGEO%20RC0805FR-0710KL%200805</x:v>
      </x:c>
      <x:c r="M100" s="9" t="str">
        <x:v>https://www.yageogroup.com/component-documentation/download/specsheet/RC0805FR-0710KL</x:v>
      </x:c>
    </x:row>
    <x:row r="101" ht="48" customHeight="1">
      <x:c r="A101" s="9" t="str">
        <x:v>R205</x:v>
      </x:c>
      <x:c r="B101" s="9" t="str">
        <x:v>120R HSE series</x:v>
      </x:c>
      <x:c r="C101" s="9" t="str">
        <x:v>YAGEO</x:v>
      </x:c>
      <x:c r="D101" s="10" t="str">
        <x:v>RC0805FR-07120RL</x:v>
      </x:c>
      <x:c r="E101" s="12" t="str">
        <x:v>0805</x:v>
      </x:c>
      <x:c r="F101" s="11" t="n">
        <x:v>1</x:v>
      </x:c>
      <x:c r="G101" s="9" t="str">
        <x:v>正面</x:v>
      </x:c>
      <x:c r="H101" s="9" t="str">
        <x:v>SPECIFICATION_FROZEN_PREFERRED_BOM</x:v>
      </x:c>
      <x:c r="I101" s="9" t="str"/>
      <x:c r="J101" s="9" t="str">
        <x:v>精度：1%; TCR&lt;=100ppm/C；耐压：&gt;=100V；功率：&gt;=0.125W</x:v>
      </x:c>
      <x:c r="K101" s="9" t="str">
        <x:v>X100_Physical:Official_Resistor_SMD_R_0805_2012Metric</x:v>
      </x:c>
      <x:c r="L101" s="9" t="str">
        <x:v>https://s.taobao.com/search?q=YAGEO%20RC0805FR-07120RL%200805</x:v>
      </x:c>
      <x:c r="M101" s="9" t="str">
        <x:v>https://www.yageogroup.com/component-documentation/download/specsheet/RC0805FR-07120RL</x:v>
      </x:c>
    </x:row>
    <x:row r="102" ht="48" customHeight="1">
      <x:c r="A102" s="9" t="str">
        <x:v>R206</x:v>
      </x:c>
      <x:c r="B102" s="9" t="str">
        <x:v>1k LED current</x:v>
      </x:c>
      <x:c r="C102" s="9" t="str">
        <x:v>YAGEO</x:v>
      </x:c>
      <x:c r="D102" s="10" t="str">
        <x:v>RC0805FR-071KL</x:v>
      </x:c>
      <x:c r="E102" s="12" t="str">
        <x:v>0805</x:v>
      </x:c>
      <x:c r="F102" s="11" t="n">
        <x:v>1</x:v>
      </x:c>
      <x:c r="G102" s="9" t="str">
        <x:v>正面</x:v>
      </x:c>
      <x:c r="H102" s="9" t="str">
        <x:v>SPECIFICATION_FROZEN_PREFERRED_BOM</x:v>
      </x:c>
      <x:c r="I102" s="9" t="str"/>
      <x:c r="J102" s="9" t="str">
        <x:v>精度：1%; TCR&lt;=100ppm/C；耐压：&gt;=100V；功率：&gt;=0.125W</x:v>
      </x:c>
      <x:c r="K102" s="9" t="str">
        <x:v>X100_Physical:Official_Resistor_SMD_R_0805_2012Metric</x:v>
      </x:c>
      <x:c r="L102" s="9" t="str">
        <x:v>https://s.taobao.com/search?q=YAGEO%20RC0805FR-071KL%200805</x:v>
      </x:c>
      <x:c r="M102" s="9" t="str">
        <x:v>https://www.yageogroup.com/component-documentation/download/specsheet/RC0805FR-071KL</x:v>
      </x:c>
    </x:row>
    <x:row r="103" ht="48" customHeight="1">
      <x:c r="A103" s="9" t="str">
        <x:v>R207</x:v>
      </x:c>
      <x:c r="B103" s="9" t="str">
        <x:v>1.2k PWR current</x:v>
      </x:c>
      <x:c r="C103" s="9" t="str">
        <x:v>YAGEO</x:v>
      </x:c>
      <x:c r="D103" s="10" t="str">
        <x:v>RC0805FR-071K2L</x:v>
      </x:c>
      <x:c r="E103" s="12" t="str">
        <x:v>0805</x:v>
      </x:c>
      <x:c r="F103" s="11" t="n">
        <x:v>1</x:v>
      </x:c>
      <x:c r="G103" s="9" t="str">
        <x:v>正面</x:v>
      </x:c>
      <x:c r="H103" s="9" t="str">
        <x:v>SPECIFICATION_FROZEN_PREFERRED_BOM; PCB01F3 prototype 1.2k authorized</x:v>
      </x:c>
      <x:c r="I103" s="9" t="str"/>
      <x:c r="J103" s="9" t="str">
        <x:v>精度：1%; TCR&lt;=100ppm/C；耐压：&gt;=100V；功率：&gt;=0.125W</x:v>
      </x:c>
      <x:c r="K103" s="9" t="str">
        <x:v>X100_Physical:Official_Resistor_SMD_R_0805_2012Metric</x:v>
      </x:c>
      <x:c r="L103" s="9" t="str">
        <x:v>https://s.taobao.com/search?q=YAGEO%20RC0805FR-071K2L%200805</x:v>
      </x:c>
      <x:c r="M103" s="9" t="str">
        <x:v>https://www.yageogroup.com/component-documentation/download/specsheet/RC0805FR-071K2L</x:v>
      </x:c>
    </x:row>
    <x:row r="104" ht="48" customHeight="1">
      <x:c r="A104" s="9" t="str">
        <x:v>R301</x:v>
      </x:c>
      <x:c r="B104" s="9" t="str">
        <x:v>10k CS1 safe HIGH</x:v>
      </x:c>
      <x:c r="C104" s="9" t="str">
        <x:v>YAGEO</x:v>
      </x:c>
      <x:c r="D104" s="10" t="str">
        <x:v>RC0805FR-0710KL</x:v>
      </x:c>
      <x:c r="E104" s="12" t="str">
        <x:v>0805</x:v>
      </x:c>
      <x:c r="F104" s="11" t="n">
        <x:v>1</x:v>
      </x:c>
      <x:c r="G104" s="9" t="str">
        <x:v>背面</x:v>
      </x:c>
      <x:c r="H104" s="9" t="str">
        <x:v>SPECIFICATION_FROZEN_PREFERRED_BOM</x:v>
      </x:c>
      <x:c r="I104" s="9" t="str"/>
      <x:c r="J104" s="9" t="str">
        <x:v>精度：1%; TCR&lt;=100ppm/C；耐压：&gt;=100V；功率：&gt;=0.125W</x:v>
      </x:c>
      <x:c r="K104" s="9" t="str">
        <x:v>X100_Physical:Official_Resistor_SMD_R_0805_2012Metric</x:v>
      </x:c>
      <x:c r="L104" s="9" t="str">
        <x:v>https://s.taobao.com/search?q=YAGEO%20RC0805FR-0710KL%200805</x:v>
      </x:c>
      <x:c r="M104" s="9" t="str">
        <x:v>https://www.yageogroup.com/component-documentation/download/specsheet/RC0805FR-0710KL</x:v>
      </x:c>
    </x:row>
    <x:row r="105" ht="48" customHeight="1">
      <x:c r="A105" s="9" t="str">
        <x:v>R302</x:v>
      </x:c>
      <x:c r="B105" s="9" t="str">
        <x:v>10k CS2 safe HIGH</x:v>
      </x:c>
      <x:c r="C105" s="9" t="str">
        <x:v>YAGEO</x:v>
      </x:c>
      <x:c r="D105" s="10" t="str">
        <x:v>RC0805FR-0710KL</x:v>
      </x:c>
      <x:c r="E105" s="12" t="str">
        <x:v>0805</x:v>
      </x:c>
      <x:c r="F105" s="11" t="n">
        <x:v>1</x:v>
      </x:c>
      <x:c r="G105" s="9" t="str">
        <x:v>背面</x:v>
      </x:c>
      <x:c r="H105" s="9" t="str">
        <x:v>SPECIFICATION_FROZEN_PREFERRED_BOM</x:v>
      </x:c>
      <x:c r="I105" s="9" t="str"/>
      <x:c r="J105" s="9" t="str">
        <x:v>精度：1%; TCR&lt;=100ppm/C；耐压：&gt;=100V；功率：&gt;=0.125W</x:v>
      </x:c>
      <x:c r="K105" s="9" t="str">
        <x:v>X100_Physical:Official_Resistor_SMD_R_0805_2012Metric</x:v>
      </x:c>
      <x:c r="L105" s="9" t="str">
        <x:v>https://s.taobao.com/search?q=YAGEO%20RC0805FR-0710KL%200805</x:v>
      </x:c>
      <x:c r="M105" s="9" t="str">
        <x:v>https://www.yageogroup.com/component-documentation/download/specsheet/RC0805FR-0710KL</x:v>
      </x:c>
    </x:row>
    <x:row r="106" ht="48" customHeight="1">
      <x:c r="A106" s="9" t="str">
        <x:v>R303</x:v>
      </x:c>
      <x:c r="B106" s="9" t="str">
        <x:v>4.7k internal SCL pullup</x:v>
      </x:c>
      <x:c r="C106" s="9" t="str">
        <x:v>YAGEO</x:v>
      </x:c>
      <x:c r="D106" s="10" t="str">
        <x:v>RC0805FR-074K7L</x:v>
      </x:c>
      <x:c r="E106" s="12" t="str">
        <x:v>0805</x:v>
      </x:c>
      <x:c r="F106" s="11" t="n">
        <x:v>1</x:v>
      </x:c>
      <x:c r="G106" s="9" t="str">
        <x:v>正面</x:v>
      </x:c>
      <x:c r="H106" s="9" t="str">
        <x:v>SPECIFICATION_FROZEN_PREFERRED_BOM</x:v>
      </x:c>
      <x:c r="I106" s="9" t="str"/>
      <x:c r="J106" s="9" t="str">
        <x:v>精度：1%; TCR&lt;=100ppm/C；耐压：&gt;=100V；功率：&gt;=0.125W</x:v>
      </x:c>
      <x:c r="K106" s="9" t="str">
        <x:v>X100_Physical:Official_Resistor_SMD_R_0805_2012Metric</x:v>
      </x:c>
      <x:c r="L106" s="9" t="str">
        <x:v>https://s.taobao.com/search?q=YAGEO%20RC0805FR-074K7L%200805</x:v>
      </x:c>
      <x:c r="M106" s="9" t="str">
        <x:v>https://www.yageogroup.com/component-documentation/download/specsheet/RC0805FR-074K7L</x:v>
      </x:c>
    </x:row>
    <x:row r="107" ht="48" customHeight="1">
      <x:c r="A107" s="9" t="str">
        <x:v>R304</x:v>
      </x:c>
      <x:c r="B107" s="9" t="str">
        <x:v>4.7k internal SDA pullup</x:v>
      </x:c>
      <x:c r="C107" s="9" t="str">
        <x:v>YAGEO</x:v>
      </x:c>
      <x:c r="D107" s="10" t="str">
        <x:v>RC0805FR-074K7L</x:v>
      </x:c>
      <x:c r="E107" s="12" t="str">
        <x:v>0805</x:v>
      </x:c>
      <x:c r="F107" s="11" t="n">
        <x:v>1</x:v>
      </x:c>
      <x:c r="G107" s="9" t="str">
        <x:v>正面</x:v>
      </x:c>
      <x:c r="H107" s="9" t="str">
        <x:v>SPECIFICATION_FROZEN_PREFERRED_BOM</x:v>
      </x:c>
      <x:c r="I107" s="9" t="str"/>
      <x:c r="J107" s="9" t="str">
        <x:v>精度：1%; TCR&lt;=100ppm/C；耐压：&gt;=100V；功率：&gt;=0.125W</x:v>
      </x:c>
      <x:c r="K107" s="9" t="str">
        <x:v>X100_Physical:Official_Resistor_SMD_R_0805_2012Metric</x:v>
      </x:c>
      <x:c r="L107" s="9" t="str">
        <x:v>https://s.taobao.com/search?q=YAGEO%20RC0805FR-074K7L%200805</x:v>
      </x:c>
      <x:c r="M107" s="9" t="str">
        <x:v>https://www.yageogroup.com/component-documentation/download/specsheet/RC0805FR-074K7L</x:v>
      </x:c>
    </x:row>
    <x:row r="108" ht="48" customHeight="1">
      <x:c r="A108" s="9" t="str">
        <x:v>R401</x:v>
      </x:c>
      <x:c r="B108" s="9" t="str">
        <x:v>5.1k CC1 Rd</x:v>
      </x:c>
      <x:c r="C108" s="9" t="str">
        <x:v>YAGEO</x:v>
      </x:c>
      <x:c r="D108" s="10" t="str">
        <x:v>RC0805FR-075K1L</x:v>
      </x:c>
      <x:c r="E108" s="12" t="str">
        <x:v>0805</x:v>
      </x:c>
      <x:c r="F108" s="11" t="n">
        <x:v>1</x:v>
      </x:c>
      <x:c r="G108" s="9" t="str">
        <x:v>背面</x:v>
      </x:c>
      <x:c r="H108" s="9" t="str">
        <x:v>SPECIFICATION_FROZEN_PREFERRED_BOM</x:v>
      </x:c>
      <x:c r="I108" s="9" t="str"/>
      <x:c r="J108" s="9" t="str">
        <x:v>精度：1%; TCR&lt;=100ppm/C；耐压：&gt;=100V；功率：&gt;=0.125W</x:v>
      </x:c>
      <x:c r="K108" s="9" t="str">
        <x:v>X100_Physical:Official_Resistor_SMD_R_0805_2012Metric</x:v>
      </x:c>
      <x:c r="L108" s="9" t="str">
        <x:v>https://s.taobao.com/search?q=YAGEO%20RC0805FR-075K1L%200805</x:v>
      </x:c>
      <x:c r="M108" s="9" t="str">
        <x:v>https://www.yageogroup.com/component-documentation/download/specsheet/RC0805FR-075K1L</x:v>
      </x:c>
    </x:row>
    <x:row r="109" ht="48" customHeight="1">
      <x:c r="A109" s="9" t="str">
        <x:v>R402</x:v>
      </x:c>
      <x:c r="B109" s="9" t="str">
        <x:v>5.1k CC2 Rd</x:v>
      </x:c>
      <x:c r="C109" s="9" t="str">
        <x:v>YAGEO</x:v>
      </x:c>
      <x:c r="D109" s="10" t="str">
        <x:v>RC0805FR-075K1L</x:v>
      </x:c>
      <x:c r="E109" s="12" t="str">
        <x:v>0805</x:v>
      </x:c>
      <x:c r="F109" s="11" t="n">
        <x:v>1</x:v>
      </x:c>
      <x:c r="G109" s="9" t="str">
        <x:v>背面</x:v>
      </x:c>
      <x:c r="H109" s="9" t="str">
        <x:v>SPECIFICATION_FROZEN_PREFERRED_BOM</x:v>
      </x:c>
      <x:c r="I109" s="9" t="str"/>
      <x:c r="J109" s="9" t="str">
        <x:v>精度：1%; TCR&lt;=100ppm/C；耐压：&gt;=100V；功率：&gt;=0.125W</x:v>
      </x:c>
      <x:c r="K109" s="9" t="str">
        <x:v>X100_Physical:Official_Resistor_SMD_R_0805_2012Metric</x:v>
      </x:c>
      <x:c r="L109" s="9" t="str">
        <x:v>https://s.taobao.com/search?q=YAGEO%20RC0805FR-075K1L%200805</x:v>
      </x:c>
      <x:c r="M109" s="9" t="str">
        <x:v>https://www.yageogroup.com/component-documentation/download/specsheet/RC0805FR-075K1L</x:v>
      </x:c>
    </x:row>
    <x:row r="110" ht="48" customHeight="1">
      <x:c r="A110" s="9" t="str">
        <x:v>R403</x:v>
      </x:c>
      <x:c r="B110" s="9" t="str">
        <x:v>10k detection input</x:v>
      </x:c>
      <x:c r="C110" s="9" t="str">
        <x:v>YAGEO</x:v>
      </x:c>
      <x:c r="D110" s="10" t="str">
        <x:v>RC0805FR-0710KL</x:v>
      </x:c>
      <x:c r="E110" s="12" t="str">
        <x:v>0805</x:v>
      </x:c>
      <x:c r="F110" s="11" t="n">
        <x:v>1</x:v>
      </x:c>
      <x:c r="G110" s="9" t="str">
        <x:v>背面</x:v>
      </x:c>
      <x:c r="H110" s="9" t="str">
        <x:v>SPECIFICATION_FROZEN_PREFERRED_BOM</x:v>
      </x:c>
      <x:c r="I110" s="9" t="str"/>
      <x:c r="J110" s="9" t="str">
        <x:v>精度：1%; TCR&lt;=100ppm/C；耐压：&gt;=100V；功率：&gt;=0.125W</x:v>
      </x:c>
      <x:c r="K110" s="9" t="str">
        <x:v>X100_Physical:Official_Resistor_SMD_R_0805_2012Metric</x:v>
      </x:c>
      <x:c r="L110" s="9" t="str">
        <x:v>https://s.taobao.com/search?q=YAGEO%20RC0805FR-0710KL%200805</x:v>
      </x:c>
      <x:c r="M110" s="9" t="str">
        <x:v>https://www.yageogroup.com/component-documentation/download/specsheet/RC0805FR-0710KL</x:v>
      </x:c>
    </x:row>
    <x:row r="111" ht="48" customHeight="1">
      <x:c r="A111" s="9" t="str">
        <x:v>R404</x:v>
      </x:c>
      <x:c r="B111" s="9" t="str">
        <x:v>100k unplug LOW</x:v>
      </x:c>
      <x:c r="C111" s="9" t="str">
        <x:v>YAGEO</x:v>
      </x:c>
      <x:c r="D111" s="10" t="str">
        <x:v>RC0805FR-07100KL</x:v>
      </x:c>
      <x:c r="E111" s="12" t="str">
        <x:v>0805</x:v>
      </x:c>
      <x:c r="F111" s="11" t="n">
        <x:v>1</x:v>
      </x:c>
      <x:c r="G111" s="9" t="str">
        <x:v>背面</x:v>
      </x:c>
      <x:c r="H111" s="9" t="str">
        <x:v>SPECIFICATION_FROZEN_PREFERRED_BOM</x:v>
      </x:c>
      <x:c r="I111" s="9" t="str"/>
      <x:c r="J111" s="9" t="str">
        <x:v>精度：1%; TCR&lt;=100ppm/C；耐压：&gt;=100V；功率：&gt;=0.125W</x:v>
      </x:c>
      <x:c r="K111" s="9" t="str">
        <x:v>X100_Physical:Official_Resistor_SMD_R_0805_2012Metric</x:v>
      </x:c>
      <x:c r="L111" s="9" t="str">
        <x:v>https://s.taobao.com/search?q=YAGEO%20RC0805FR-07100KL%200805</x:v>
      </x:c>
      <x:c r="M111" s="9" t="str">
        <x:v>https://www.yageogroup.com/component-documentation/download/specsheet/RC0805FR-07100KL</x:v>
      </x:c>
    </x:row>
    <x:row r="112" ht="48" customHeight="1">
      <x:c r="A112" s="9" t="str">
        <x:v>R501</x:v>
      </x:c>
      <x:c r="B112" s="9" t="str">
        <x:v>0R SD service isolation</x:v>
      </x:c>
      <x:c r="C112" s="9" t="str">
        <x:v>YAGEO</x:v>
      </x:c>
      <x:c r="D112" s="10" t="str">
        <x:v>RC0805JR-070RL</x:v>
      </x:c>
      <x:c r="E112" s="12" t="str">
        <x:v>0805</x:v>
      </x:c>
      <x:c r="F112" s="11" t="n">
        <x:v>1</x:v>
      </x:c>
      <x:c r="G112" s="9" t="str">
        <x:v>背面</x:v>
      </x:c>
      <x:c r="H112" s="9" t="str">
        <x:v>SPECIFICATION_FROZEN_PREFERRED_BOM</x:v>
      </x:c>
      <x:c r="I112" s="9" t="str"/>
      <x:c r="J112" s="9" t="str">
        <x:v>精度：jumper；耐压：&gt;=100V；功率：&gt;=0.125W</x:v>
      </x:c>
      <x:c r="K112" s="9" t="str">
        <x:v>X100_Physical:Official_Resistor_SMD_R_0805_2012Metric</x:v>
      </x:c>
      <x:c r="L112" s="9" t="str">
        <x:v>https://s.taobao.com/search?q=YAGEO%20RC0805JR-070RL%200805</x:v>
      </x:c>
      <x:c r="M112" s="9" t="str">
        <x:v>https://www.yageogroup.com/component-documentation/download/specsheet/RC0805JR-070RL</x:v>
      </x:c>
    </x:row>
    <x:row r="113" ht="48" customHeight="1">
      <x:c r="A113" s="9" t="str">
        <x:v>R502</x:v>
      </x:c>
      <x:c r="B113" s="9" t="str">
        <x:v>47k SD pullup</x:v>
      </x:c>
      <x:c r="C113" s="9" t="str">
        <x:v>YAGEO</x:v>
      </x:c>
      <x:c r="D113" s="10" t="str">
        <x:v>RC0805FR-0747KL</x:v>
      </x:c>
      <x:c r="E113" s="12" t="str">
        <x:v>0805</x:v>
      </x:c>
      <x:c r="F113" s="11" t="n">
        <x:v>1</x:v>
      </x:c>
      <x:c r="G113" s="9" t="str">
        <x:v>背面</x:v>
      </x:c>
      <x:c r="H113" s="9" t="str">
        <x:v>SPECIFICATION_FROZEN_PREFERRED_BOM</x:v>
      </x:c>
      <x:c r="I113" s="9" t="str"/>
      <x:c r="J113" s="9" t="str">
        <x:v>精度：1%; TCR&lt;=100ppm/C；耐压：&gt;=100V；功率：&gt;=0.125W</x:v>
      </x:c>
      <x:c r="K113" s="9" t="str">
        <x:v>X100_Physical:Official_Resistor_SMD_R_0805_2012Metric</x:v>
      </x:c>
      <x:c r="L113" s="9" t="str">
        <x:v>https://s.taobao.com/search?q=YAGEO%20RC0805FR-0747KL%200805</x:v>
      </x:c>
      <x:c r="M113" s="9" t="str">
        <x:v>https://www.yageogroup.com/component-documentation/download/specsheet/RC0805FR-0747KL</x:v>
      </x:c>
    </x:row>
    <x:row r="114" ht="48" customHeight="1">
      <x:c r="A114" s="9" t="str">
        <x:v>R503</x:v>
      </x:c>
      <x:c r="B114" s="9" t="str">
        <x:v>47k SD pullup</x:v>
      </x:c>
      <x:c r="C114" s="9" t="str">
        <x:v>YAGEO</x:v>
      </x:c>
      <x:c r="D114" s="10" t="str">
        <x:v>RC0805FR-0747KL</x:v>
      </x:c>
      <x:c r="E114" s="12" t="str">
        <x:v>0805</x:v>
      </x:c>
      <x:c r="F114" s="11" t="n">
        <x:v>1</x:v>
      </x:c>
      <x:c r="G114" s="9" t="str">
        <x:v>背面</x:v>
      </x:c>
      <x:c r="H114" s="9" t="str">
        <x:v>SPECIFICATION_FROZEN_PREFERRED_BOM</x:v>
      </x:c>
      <x:c r="I114" s="9" t="str"/>
      <x:c r="J114" s="9" t="str">
        <x:v>精度：1%; TCR&lt;=100ppm/C；耐压：&gt;=100V；功率：&gt;=0.125W</x:v>
      </x:c>
      <x:c r="K114" s="9" t="str">
        <x:v>X100_Physical:Official_Resistor_SMD_R_0805_2012Metric</x:v>
      </x:c>
      <x:c r="L114" s="9" t="str">
        <x:v>https://s.taobao.com/search?q=YAGEO%20RC0805FR-0747KL%200805</x:v>
      </x:c>
      <x:c r="M114" s="9" t="str">
        <x:v>https://www.yageogroup.com/component-documentation/download/specsheet/RC0805FR-0747KL</x:v>
      </x:c>
    </x:row>
    <x:row r="115" ht="48" customHeight="1">
      <x:c r="A115" s="9" t="str">
        <x:v>R504</x:v>
      </x:c>
      <x:c r="B115" s="9" t="str">
        <x:v>47k SD pullup</x:v>
      </x:c>
      <x:c r="C115" s="9" t="str">
        <x:v>YAGEO</x:v>
      </x:c>
      <x:c r="D115" s="10" t="str">
        <x:v>RC0805FR-0747KL</x:v>
      </x:c>
      <x:c r="E115" s="12" t="str">
        <x:v>0805</x:v>
      </x:c>
      <x:c r="F115" s="11" t="n">
        <x:v>1</x:v>
      </x:c>
      <x:c r="G115" s="9" t="str">
        <x:v>背面</x:v>
      </x:c>
      <x:c r="H115" s="9" t="str">
        <x:v>SPECIFICATION_FROZEN_PREFERRED_BOM</x:v>
      </x:c>
      <x:c r="I115" s="9" t="str"/>
      <x:c r="J115" s="9" t="str">
        <x:v>精度：1%; TCR&lt;=100ppm/C；耐压：&gt;=100V；功率：&gt;=0.125W</x:v>
      </x:c>
      <x:c r="K115" s="9" t="str">
        <x:v>X100_Physical:Official_Resistor_SMD_R_0805_2012Metric</x:v>
      </x:c>
      <x:c r="L115" s="9" t="str">
        <x:v>https://s.taobao.com/search?q=YAGEO%20RC0805FR-0747KL%200805</x:v>
      </x:c>
      <x:c r="M115" s="9" t="str">
        <x:v>https://www.yageogroup.com/component-documentation/download/specsheet/RC0805FR-0747KL</x:v>
      </x:c>
    </x:row>
    <x:row r="116" ht="48" customHeight="1">
      <x:c r="A116" s="9" t="str">
        <x:v>R505</x:v>
      </x:c>
      <x:c r="B116" s="9" t="str">
        <x:v>47k SD pullup</x:v>
      </x:c>
      <x:c r="C116" s="9" t="str">
        <x:v>YAGEO</x:v>
      </x:c>
      <x:c r="D116" s="10" t="str">
        <x:v>RC0805FR-0747KL</x:v>
      </x:c>
      <x:c r="E116" s="12" t="str">
        <x:v>0805</x:v>
      </x:c>
      <x:c r="F116" s="11" t="n">
        <x:v>1</x:v>
      </x:c>
      <x:c r="G116" s="9" t="str">
        <x:v>背面</x:v>
      </x:c>
      <x:c r="H116" s="9" t="str">
        <x:v>SPECIFICATION_FROZEN_PREFERRED_BOM</x:v>
      </x:c>
      <x:c r="I116" s="9" t="str"/>
      <x:c r="J116" s="9" t="str">
        <x:v>精度：1%; TCR&lt;=100ppm/C；耐压：&gt;=100V；功率：&gt;=0.125W</x:v>
      </x:c>
      <x:c r="K116" s="9" t="str">
        <x:v>X100_Physical:Official_Resistor_SMD_R_0805_2012Metric</x:v>
      </x:c>
      <x:c r="L116" s="9" t="str">
        <x:v>https://s.taobao.com/search?q=YAGEO%20RC0805FR-0747KL%200805</x:v>
      </x:c>
      <x:c r="M116" s="9" t="str">
        <x:v>https://www.yageogroup.com/component-documentation/download/specsheet/RC0805FR-0747KL</x:v>
      </x:c>
    </x:row>
    <x:row r="117" ht="48" customHeight="1">
      <x:c r="A117" s="9" t="str">
        <x:v>R506</x:v>
      </x:c>
      <x:c r="B117" s="9" t="str">
        <x:v>47k SD pullup</x:v>
      </x:c>
      <x:c r="C117" s="9" t="str">
        <x:v>YAGEO</x:v>
      </x:c>
      <x:c r="D117" s="10" t="str">
        <x:v>RC0805FR-0747KL</x:v>
      </x:c>
      <x:c r="E117" s="12" t="str">
        <x:v>0805</x:v>
      </x:c>
      <x:c r="F117" s="11" t="n">
        <x:v>1</x:v>
      </x:c>
      <x:c r="G117" s="9" t="str">
        <x:v>背面</x:v>
      </x:c>
      <x:c r="H117" s="9" t="str">
        <x:v>SPECIFICATION_FROZEN_PREFERRED_BOM</x:v>
      </x:c>
      <x:c r="I117" s="9" t="str"/>
      <x:c r="J117" s="9" t="str">
        <x:v>精度：1%; TCR&lt;=100ppm/C；耐压：&gt;=100V；功率：&gt;=0.125W</x:v>
      </x:c>
      <x:c r="K117" s="9" t="str">
        <x:v>X100_Physical:Official_Resistor_SMD_R_0805_2012Metric</x:v>
      </x:c>
      <x:c r="L117" s="9" t="str">
        <x:v>https://s.taobao.com/search?q=YAGEO%20RC0805FR-0747KL%200805</x:v>
      </x:c>
      <x:c r="M117" s="9" t="str">
        <x:v>https://www.yageogroup.com/component-documentation/download/specsheet/RC0805FR-0747KL</x:v>
      </x:c>
    </x:row>
    <x:row r="118" ht="48" customHeight="1">
      <x:c r="A118" s="9" t="str">
        <x:v>R602</x:v>
      </x:c>
      <x:c r="B118" s="9" t="str">
        <x:v>120R end termination</x:v>
      </x:c>
      <x:c r="C118" s="9" t="str">
        <x:v>YAGEO</x:v>
      </x:c>
      <x:c r="D118" s="10" t="str">
        <x:v>RC0805FR-07120RL</x:v>
      </x:c>
      <x:c r="E118" s="12" t="str">
        <x:v>0805</x:v>
      </x:c>
      <x:c r="F118" s="11" t="n">
        <x:v>1</x:v>
      </x:c>
      <x:c r="G118" s="9" t="str">
        <x:v>背面</x:v>
      </x:c>
      <x:c r="H118" s="9" t="str">
        <x:v>SPECIFICATION_FROZEN_PREFERRED_BOM</x:v>
      </x:c>
      <x:c r="I118" s="9" t="str"/>
      <x:c r="J118" s="9" t="str">
        <x:v>精度：1%; TCR&lt;=100ppm/C；耐压：&gt;=100V；功率：&gt;=0.125W</x:v>
      </x:c>
      <x:c r="K118" s="9" t="str">
        <x:v>X100_Physical:Official_Resistor_SMD_R_0805_2012Metric</x:v>
      </x:c>
      <x:c r="L118" s="9" t="str">
        <x:v>https://s.taobao.com/search?q=YAGEO%20RC0805FR-07120RL%200805</x:v>
      </x:c>
      <x:c r="M118" s="9" t="str">
        <x:v>https://www.yageogroup.com/component-documentation/download/specsheet/RC0805FR-07120RL</x:v>
      </x:c>
    </x:row>
    <x:row r="119" ht="48" customHeight="1">
      <x:c r="A119" s="9" t="str">
        <x:v>R603</x:v>
      </x:c>
      <x:c r="B119" s="9" t="str">
        <x:v>10k TXD default recessive</x:v>
      </x:c>
      <x:c r="C119" s="9" t="str">
        <x:v>YAGEO</x:v>
      </x:c>
      <x:c r="D119" s="10" t="str">
        <x:v>RC0805FR-0710KL</x:v>
      </x:c>
      <x:c r="E119" s="12" t="str">
        <x:v>0805</x:v>
      </x:c>
      <x:c r="F119" s="11" t="n">
        <x:v>1</x:v>
      </x:c>
      <x:c r="G119" s="9" t="str">
        <x:v>背面</x:v>
      </x:c>
      <x:c r="H119" s="9" t="str">
        <x:v>SPECIFICATION_FROZEN_PREFERRED_BOM</x:v>
      </x:c>
      <x:c r="I119" s="9" t="str"/>
      <x:c r="J119" s="9" t="str">
        <x:v>精度：1%; TCR&lt;=100ppm/C；耐压：&gt;=100V；功率：&gt;=0.125W</x:v>
      </x:c>
      <x:c r="K119" s="9" t="str">
        <x:v>X100_Physical:Official_Resistor_SMD_R_0805_2012Metric</x:v>
      </x:c>
      <x:c r="L119" s="9" t="str">
        <x:v>https://s.taobao.com/search?q=YAGEO%20RC0805FR-0710KL%200805</x:v>
      </x:c>
      <x:c r="M119" s="9" t="str">
        <x:v>https://www.yageogroup.com/component-documentation/download/specsheet/RC0805FR-0710KL</x:v>
      </x:c>
    </x:row>
    <x:row r="120" ht="48" customHeight="1">
      <x:c r="A120" s="9" t="str">
        <x:v>R604</x:v>
      </x:c>
      <x:c r="B120" s="9" t="str">
        <x:v>10k</x:v>
      </x:c>
      <x:c r="C120" s="9" t="str">
        <x:v>YAGEO</x:v>
      </x:c>
      <x:c r="D120" s="10" t="str">
        <x:v>RC0805FR-0710KL</x:v>
      </x:c>
      <x:c r="E120" s="12" t="str">
        <x:v>0805</x:v>
      </x:c>
      <x:c r="F120" s="11" t="n">
        <x:v>1</x:v>
      </x:c>
      <x:c r="G120" s="9" t="str">
        <x:v>背面</x:v>
      </x:c>
      <x:c r="H120" s="9" t="str">
        <x:v>SPECIFICATION_FROZEN_PREFERRED_BOM</x:v>
      </x:c>
      <x:c r="I120" s="9" t="str"/>
      <x:c r="J120" s="9" t="str">
        <x:v>精度：1%; TCR&lt;=100ppm/C；耐压：&gt;=100V；功率：&gt;=0.125W</x:v>
      </x:c>
      <x:c r="K120" s="9" t="str">
        <x:v>X100_Physical:Official_Resistor_SMD_R_0805_2012Metric</x:v>
      </x:c>
      <x:c r="L120" s="9" t="str">
        <x:v>https://s.taobao.com/search?q=YAGEO%20RC0805FR-0710KL%200805</x:v>
      </x:c>
      <x:c r="M120" s="9" t="str">
        <x:v>https://www.yageogroup.com/component-documentation/download/specsheet/RC0805FR-0710KL</x:v>
      </x:c>
    </x:row>
    <x:row r="121" ht="48" customHeight="1">
      <x:c r="A121" s="9" t="str">
        <x:v>R701</x:v>
      </x:c>
      <x:c r="B121" s="9" t="str">
        <x:v>4.7k externalSCL pullup</x:v>
      </x:c>
      <x:c r="C121" s="9" t="str">
        <x:v>YAGEO</x:v>
      </x:c>
      <x:c r="D121" s="10" t="str">
        <x:v>RC0805FR-074K7L</x:v>
      </x:c>
      <x:c r="E121" s="12" t="str">
        <x:v>0805</x:v>
      </x:c>
      <x:c r="F121" s="11" t="n">
        <x:v>1</x:v>
      </x:c>
      <x:c r="G121" s="9" t="str">
        <x:v>背面</x:v>
      </x:c>
      <x:c r="H121" s="9" t="str">
        <x:v>SPECIFICATION_FROZEN_PREFERRED_BOM</x:v>
      </x:c>
      <x:c r="I121" s="9" t="str"/>
      <x:c r="J121" s="9" t="str">
        <x:v>精度：1%; TCR&lt;=100ppm/C；耐压：&gt;=100V；功率：&gt;=0.125W</x:v>
      </x:c>
      <x:c r="K121" s="9" t="str">
        <x:v>X100_Physical:Official_Resistor_SMD_R_0805_2012Metric</x:v>
      </x:c>
      <x:c r="L121" s="9" t="str">
        <x:v>https://s.taobao.com/search?q=YAGEO%20RC0805FR-074K7L%200805</x:v>
      </x:c>
      <x:c r="M121" s="9" t="str">
        <x:v>https://www.yageogroup.com/component-documentation/download/specsheet/RC0805FR-074K7L</x:v>
      </x:c>
    </x:row>
    <x:row r="122" ht="48" customHeight="1">
      <x:c r="A122" s="9" t="str">
        <x:v>R702</x:v>
      </x:c>
      <x:c r="B122" s="9" t="str">
        <x:v>4.7k externalSDA pullup</x:v>
      </x:c>
      <x:c r="C122" s="9" t="str">
        <x:v>YAGEO</x:v>
      </x:c>
      <x:c r="D122" s="10" t="str">
        <x:v>RC0805FR-074K7L</x:v>
      </x:c>
      <x:c r="E122" s="12" t="str">
        <x:v>0805</x:v>
      </x:c>
      <x:c r="F122" s="11" t="n">
        <x:v>1</x:v>
      </x:c>
      <x:c r="G122" s="9" t="str">
        <x:v>背面</x:v>
      </x:c>
      <x:c r="H122" s="9" t="str">
        <x:v>SPECIFICATION_FROZEN_PREFERRED_BOM</x:v>
      </x:c>
      <x:c r="I122" s="9" t="str"/>
      <x:c r="J122" s="9" t="str">
        <x:v>精度：1%; TCR&lt;=100ppm/C；耐压：&gt;=100V；功率：&gt;=0.125W</x:v>
      </x:c>
      <x:c r="K122" s="9" t="str">
        <x:v>X100_Physical:Official_Resistor_SMD_R_0805_2012Metric</x:v>
      </x:c>
      <x:c r="L122" s="9" t="str">
        <x:v>https://s.taobao.com/search?q=YAGEO%20RC0805FR-074K7L%200805</x:v>
      </x:c>
      <x:c r="M122" s="9" t="str">
        <x:v>https://www.yageogroup.com/component-documentation/download/specsheet/RC0805FR-074K7L</x:v>
      </x:c>
    </x:row>
    <x:row r="123" ht="48" customHeight="1">
      <x:c r="A123" s="9" t="str">
        <x:v>R801</x:v>
      </x:c>
      <x:c r="B123" s="9" t="str">
        <x:v>150k 0.1%</x:v>
      </x:c>
      <x:c r="C123" s="9" t="str">
        <x:v>YAGEO</x:v>
      </x:c>
      <x:c r="D123" s="10" t="str">
        <x:v>RT0805BRD07150KL</x:v>
      </x:c>
      <x:c r="E123" s="12" t="str">
        <x:v>0805</x:v>
      </x:c>
      <x:c r="F123" s="11" t="n">
        <x:v>1</x:v>
      </x:c>
      <x:c r="G123" s="9" t="str">
        <x:v>正面</x:v>
      </x:c>
      <x:c r="H123" s="9" t="str">
        <x:v>SPECIFICATION_FROZEN_PREFERRED_BOM</x:v>
      </x:c>
      <x:c r="I123" s="9" t="str"/>
      <x:c r="J123" s="9" t="str">
        <x:v>精度：0.1%; TCR&lt;=25ppm/C；耐压：&gt;=100V；功率：&gt;=0.125W</x:v>
      </x:c>
      <x:c r="K123" s="9" t="str">
        <x:v>X100_Physical:Official_Resistor_SMD_R_0805_2012Metric</x:v>
      </x:c>
      <x:c r="L123" s="9" t="str">
        <x:v>https://s.taobao.com/search?q=YAGEO%20RT0805BRD07150KL%200805</x:v>
      </x:c>
      <x:c r="M123" s="9" t="str">
        <x:v>https://www.yageogroup.com/component-documentation/download/specsheet/RT0805BRD07150KL</x:v>
      </x:c>
    </x:row>
    <x:row r="124" ht="48" customHeight="1">
      <x:c r="A124" s="9" t="str">
        <x:v>R802</x:v>
      </x:c>
      <x:c r="B124" s="9" t="str">
        <x:v>10k 0.1% scale16</x:v>
      </x:c>
      <x:c r="C124" s="9" t="str">
        <x:v>YAGEO</x:v>
      </x:c>
      <x:c r="D124" s="10" t="str">
        <x:v>RT0805BRD0710KL</x:v>
      </x:c>
      <x:c r="E124" s="12" t="str">
        <x:v>0805</x:v>
      </x:c>
      <x:c r="F124" s="11" t="n">
        <x:v>1</x:v>
      </x:c>
      <x:c r="G124" s="9" t="str">
        <x:v>正面</x:v>
      </x:c>
      <x:c r="H124" s="9" t="str">
        <x:v>SPECIFICATION_FROZEN_PREFERRED_BOM</x:v>
      </x:c>
      <x:c r="I124" s="9" t="str"/>
      <x:c r="J124" s="9" t="str">
        <x:v>精度：0.1%; TCR&lt;=25ppm/C；耐压：&gt;=100V；功率：&gt;=0.125W</x:v>
      </x:c>
      <x:c r="K124" s="9" t="str">
        <x:v>X100_Physical:Official_Resistor_SMD_R_0805_2012Metric</x:v>
      </x:c>
      <x:c r="L124" s="9" t="str">
        <x:v>https://s.taobao.com/search?q=YAGEO%20RT0805BRD0710KL%200805</x:v>
      </x:c>
      <x:c r="M124" s="9" t="str">
        <x:v>https://www.yageogroup.com/component-documentation/download/specsheet/RT0805BRD0710KL</x:v>
      </x:c>
    </x:row>
    <x:row r="125" ht="48" customHeight="1">
      <x:c r="A125" s="9" t="str">
        <x:v>R803</x:v>
      </x:c>
      <x:c r="B125" s="9" t="str">
        <x:v>1k ADC series</x:v>
      </x:c>
      <x:c r="C125" s="9" t="str">
        <x:v>YAGEO</x:v>
      </x:c>
      <x:c r="D125" s="10" t="str">
        <x:v>RC0805FR-071KL</x:v>
      </x:c>
      <x:c r="E125" s="12" t="str">
        <x:v>0805</x:v>
      </x:c>
      <x:c r="F125" s="11" t="n">
        <x:v>1</x:v>
      </x:c>
      <x:c r="G125" s="9" t="str">
        <x:v>正面</x:v>
      </x:c>
      <x:c r="H125" s="9" t="str">
        <x:v>SPECIFICATION_FROZEN_PREFERRED_BOM</x:v>
      </x:c>
      <x:c r="I125" s="9" t="str"/>
      <x:c r="J125" s="9" t="str">
        <x:v>精度：1%; TCR&lt;=100ppm/C；耐压：&gt;=100V；功率：&gt;=0.125W</x:v>
      </x:c>
      <x:c r="K125" s="9" t="str">
        <x:v>X100_Physical:Official_Resistor_SMD_R_0805_2012Metric</x:v>
      </x:c>
      <x:c r="L125" s="9" t="str">
        <x:v>https://s.taobao.com/search?q=YAGEO%20RC0805FR-071KL%200805</x:v>
      </x:c>
      <x:c r="M125" s="9" t="str">
        <x:v>https://www.yageogroup.com/component-documentation/download/specsheet/RC0805FR-071KL</x:v>
      </x:c>
    </x:row>
    <x:row r="126" ht="48" customHeight="1">
      <x:c r="A126" s="9" t="str">
        <x:v>R804</x:v>
      </x:c>
      <x:c r="B126" s="9" t="str">
        <x:v>1k isolate ADC reservoir</x:v>
      </x:c>
      <x:c r="C126" s="9" t="str">
        <x:v>YAGEO</x:v>
      </x:c>
      <x:c r="D126" s="10" t="str">
        <x:v>RC0805FR-071KL</x:v>
      </x:c>
      <x:c r="E126" s="12" t="str">
        <x:v>0805</x:v>
      </x:c>
      <x:c r="F126" s="11" t="n">
        <x:v>1</x:v>
      </x:c>
      <x:c r="G126" s="9" t="str">
        <x:v>正面</x:v>
      </x:c>
      <x:c r="H126" s="9" t="str">
        <x:v>SPECIFICATION_FROZEN_PREFERRED_BOM</x:v>
      </x:c>
      <x:c r="I126" s="9" t="str"/>
      <x:c r="J126" s="9" t="str">
        <x:v>精度：1%; TCR&lt;=100ppm/C；耐压：&gt;=100V；功率：&gt;=0.125W</x:v>
      </x:c>
      <x:c r="K126" s="9" t="str">
        <x:v>X100_Physical:Official_Resistor_SMD_R_0805_2012Metric</x:v>
      </x:c>
      <x:c r="L126" s="9" t="str">
        <x:v>https://s.taobao.com/search?q=YAGEO%20RC0805FR-071KL%200805</x:v>
      </x:c>
      <x:c r="M126" s="9" t="str">
        <x:v>https://www.yageogroup.com/component-documentation/download/specsheet/RC0805FR-071KL</x:v>
      </x:c>
    </x:row>
    <x:row r="127" ht="48" customHeight="1">
      <x:c r="A127" s="9" t="str">
        <x:v>R805</x:v>
      </x:c>
      <x:c r="B127" s="9" t="str">
        <x:v>22.1k 1% &gt;=100V</x:v>
      </x:c>
      <x:c r="C127" s="9" t="str">
        <x:v>YAGEO</x:v>
      </x:c>
      <x:c r="D127" s="10" t="str">
        <x:v>RC0805FR-0722K1L</x:v>
      </x:c>
      <x:c r="E127" s="12" t="str">
        <x:v>0805</x:v>
      </x:c>
      <x:c r="F127" s="11" t="n">
        <x:v>1</x:v>
      </x:c>
      <x:c r="G127" s="9" t="str">
        <x:v>正面</x:v>
      </x:c>
      <x:c r="H127" s="9" t="str">
        <x:v>SPECIFICATION_FROZEN_PREFERRED_BOM</x:v>
      </x:c>
      <x:c r="I127" s="9" t="str"/>
      <x:c r="J127" s="9" t="str">
        <x:v>精度：1%; TCR&lt;=100ppm/C；耐压：&gt;=100V；功率：&gt;=0.125W</x:v>
      </x:c>
      <x:c r="K127" s="9" t="str">
        <x:v>X100_Physical:Official_Resistor_SMD_R_0805_2012Metric</x:v>
      </x:c>
      <x:c r="L127" s="9" t="str">
        <x:v>https://s.taobao.com/search?q=YAGEO%20RC0805FR-0722K1L%200805</x:v>
      </x:c>
      <x:c r="M127" s="9" t="str">
        <x:v>https://www.yageogroup.com/component-documentation/download/specsheet/RC0805FR-0722K1L</x:v>
      </x:c>
    </x:row>
    <x:row r="128" ht="48" customHeight="1">
      <x:c r="A128" s="9" t="str">
        <x:v>R806</x:v>
      </x:c>
      <x:c r="B128" s="9" t="str">
        <x:v>20k 1% scale20/42.1</x:v>
      </x:c>
      <x:c r="C128" s="9" t="str">
        <x:v>YAGEO</x:v>
      </x:c>
      <x:c r="D128" s="10" t="str">
        <x:v>RC0805FR-0720KL</x:v>
      </x:c>
      <x:c r="E128" s="12" t="str">
        <x:v>0805</x:v>
      </x:c>
      <x:c r="F128" s="11" t="n">
        <x:v>1</x:v>
      </x:c>
      <x:c r="G128" s="9" t="str">
        <x:v>正面</x:v>
      </x:c>
      <x:c r="H128" s="9" t="str">
        <x:v>SPECIFICATION_FROZEN_PREFERRED_BOM</x:v>
      </x:c>
      <x:c r="I128" s="9" t="str"/>
      <x:c r="J128" s="9" t="str">
        <x:v>精度：1%; TCR&lt;=100ppm/C；耐压：&gt;=100V；功率：&gt;=0.125W</x:v>
      </x:c>
      <x:c r="K128" s="9" t="str">
        <x:v>X100_Physical:Official_Resistor_SMD_R_0805_2012Metric</x:v>
      </x:c>
      <x:c r="L128" s="9" t="str">
        <x:v>https://s.taobao.com/search?q=YAGEO%20RC0805FR-0720KL%200805</x:v>
      </x:c>
      <x:c r="M128" s="9" t="str">
        <x:v>https://www.yageogroup.com/component-documentation/download/specsheet/RC0805FR-0720KL</x:v>
      </x:c>
    </x:row>
    <x:row r="129" ht="48" customHeight="1">
      <x:c r="A129" s="9" t="str">
        <x:v>R807</x:v>
      </x:c>
      <x:c r="B129" s="9" t="str">
        <x:v>1k current limit</x:v>
      </x:c>
      <x:c r="C129" s="9" t="str">
        <x:v>YAGEO</x:v>
      </x:c>
      <x:c r="D129" s="10" t="str">
        <x:v>RC0805FR-071KL</x:v>
      </x:c>
      <x:c r="E129" s="12" t="str">
        <x:v>0805</x:v>
      </x:c>
      <x:c r="F129" s="11" t="n">
        <x:v>1</x:v>
      </x:c>
      <x:c r="G129" s="9" t="str">
        <x:v>背面</x:v>
      </x:c>
      <x:c r="H129" s="9" t="str">
        <x:v>SPECIFICATION_FROZEN_PREFERRED_BOM</x:v>
      </x:c>
      <x:c r="I129" s="9" t="str"/>
      <x:c r="J129" s="9" t="str">
        <x:v>精度：1%; TCR&lt;=100ppm/C；耐压：&gt;=100V；功率：&gt;=0.125W</x:v>
      </x:c>
      <x:c r="K129" s="9" t="str">
        <x:v>X100_Physical:Official_Resistor_SMD_R_0805_2012Metric</x:v>
      </x:c>
      <x:c r="L129" s="9" t="str">
        <x:v>https://s.taobao.com/search?q=YAGEO%20RC0805FR-071KL%200805</x:v>
      </x:c>
      <x:c r="M129" s="9" t="str">
        <x:v>https://www.yageogroup.com/component-documentation/download/specsheet/RC0805FR-071KL</x:v>
      </x:c>
    </x:row>
    <x:row r="130" ht="48" customHeight="1">
      <x:c r="A130" s="9" t="str">
        <x:v>R808</x:v>
      </x:c>
      <x:c r="B130" s="9" t="str">
        <x:v>1k isolate ADC reservoir</x:v>
      </x:c>
      <x:c r="C130" s="9" t="str">
        <x:v>YAGEO</x:v>
      </x:c>
      <x:c r="D130" s="10" t="str">
        <x:v>RC0805FR-071KL</x:v>
      </x:c>
      <x:c r="E130" s="12" t="str">
        <x:v>0805</x:v>
      </x:c>
      <x:c r="F130" s="11" t="n">
        <x:v>1</x:v>
      </x:c>
      <x:c r="G130" s="9" t="str">
        <x:v>正面</x:v>
      </x:c>
      <x:c r="H130" s="9" t="str">
        <x:v>SPECIFICATION_FROZEN_PREFERRED_BOM</x:v>
      </x:c>
      <x:c r="I130" s="9" t="str"/>
      <x:c r="J130" s="9" t="str">
        <x:v>精度：1%; TCR&lt;=100ppm/C；耐压：&gt;=100V；功率：&gt;=0.125W</x:v>
      </x:c>
      <x:c r="K130" s="9" t="str">
        <x:v>X100_Physical:Official_Resistor_SMD_R_0805_2012Metric</x:v>
      </x:c>
      <x:c r="L130" s="9" t="str">
        <x:v>https://s.taobao.com/search?q=YAGEO%20RC0805FR-071KL%200805</x:v>
      </x:c>
      <x:c r="M130" s="9" t="str">
        <x:v>https://www.yageogroup.com/component-documentation/download/specsheet/RC0805FR-071KL</x:v>
      </x:c>
    </x:row>
    <x:row r="131" ht="48" customHeight="1">
      <x:c r="A131" s="9" t="str">
        <x:v>R809</x:v>
      </x:c>
      <x:c r="B131" s="9" t="str">
        <x:v>1.3M 1% discharge/IOFF bound</x:v>
      </x:c>
      <x:c r="C131" s="9" t="str">
        <x:v>YAGEO</x:v>
      </x:c>
      <x:c r="D131" s="10" t="str">
        <x:v>RC0805FR-071M3L</x:v>
      </x:c>
      <x:c r="E131" s="12" t="str">
        <x:v>0805</x:v>
      </x:c>
      <x:c r="F131" s="11" t="n">
        <x:v>1</x:v>
      </x:c>
      <x:c r="G131" s="9" t="str">
        <x:v>正面</x:v>
      </x:c>
      <x:c r="H131" s="9" t="str">
        <x:v>SPECIFICATION_FROZEN_PREFERRED_BOM</x:v>
      </x:c>
      <x:c r="I131" s="9" t="str"/>
      <x:c r="J131" s="9" t="str">
        <x:v>精度：1%; TCR&lt;=100ppm/C；耐压：&gt;=100V；功率：&gt;=0.125W</x:v>
      </x:c>
      <x:c r="K131" s="9" t="str">
        <x:v>X100_Physical:Official_Resistor_SMD_R_0805_2012Metric</x:v>
      </x:c>
      <x:c r="L131" s="9" t="str">
        <x:v>https://s.taobao.com/search?q=YAGEO%20RC0805FR-071M3L%200805</x:v>
      </x:c>
      <x:c r="M131" s="9" t="str">
        <x:v>preferred BOM only; specification controls</x:v>
      </x:c>
    </x:row>
    <x:row r="132" ht="48" customHeight="1">
      <x:c r="A132" s="9" t="str">
        <x:v>R810</x:v>
      </x:c>
      <x:c r="B132" s="9" t="str">
        <x:v>1.3M 1% discharge/IOFF bound</x:v>
      </x:c>
      <x:c r="C132" s="9" t="str">
        <x:v>YAGEO</x:v>
      </x:c>
      <x:c r="D132" s="10" t="str">
        <x:v>RC0805FR-071M3L</x:v>
      </x:c>
      <x:c r="E132" s="12" t="str">
        <x:v>0805</x:v>
      </x:c>
      <x:c r="F132" s="11" t="n">
        <x:v>1</x:v>
      </x:c>
      <x:c r="G132" s="9" t="str">
        <x:v>正面</x:v>
      </x:c>
      <x:c r="H132" s="9" t="str">
        <x:v>SPECIFICATION_FROZEN_PREFERRED_BOM</x:v>
      </x:c>
      <x:c r="I132" s="9" t="str"/>
      <x:c r="J132" s="9" t="str">
        <x:v>精度：1%; TCR&lt;=100ppm/C；耐压：&gt;=100V；功率：&gt;=0.125W</x:v>
      </x:c>
      <x:c r="K132" s="9" t="str">
        <x:v>X100_Physical:Official_Resistor_SMD_R_0805_2012Metric</x:v>
      </x:c>
      <x:c r="L132" s="9" t="str">
        <x:v>https://s.taobao.com/search?q=YAGEO%20RC0805FR-071M3L%200805</x:v>
      </x:c>
      <x:c r="M132" s="9" t="str">
        <x:v>preferred BOM only; specification controls</x:v>
      </x:c>
    </x:row>
    <x:row r="133" ht="48" customHeight="1">
      <x:c r="A133" s="9" t="str">
        <x:v>R811</x:v>
      </x:c>
      <x:c r="B133" s="9" t="str">
        <x:v>10k rail discharge; off bound 81.6mV</x:v>
      </x:c>
      <x:c r="C133" s="9" t="str">
        <x:v>Yageo</x:v>
      </x:c>
      <x:c r="D133" s="10" t="str">
        <x:v>RC0805FR-0710KL</x:v>
      </x:c>
      <x:c r="E133" s="12" t="str">
        <x:v>0805</x:v>
      </x:c>
      <x:c r="F133" s="11" t="n">
        <x:v>1</x:v>
      </x:c>
      <x:c r="G133" s="9" t="str">
        <x:v>背面</x:v>
      </x:c>
      <x:c r="H133" s="9" t="str">
        <x:v>SPECIFICATION_FROZEN_PREFERRED_BOM</x:v>
      </x:c>
      <x:c r="I133" s="9" t="str">
        <x:v>CANDIDATE: Ioff 8uA x Rmax 10.2k = 81.6mV; no physical test</x:v>
      </x:c>
      <x:c r="J133" s="9" t="str">
        <x:v>精度：1%; TCR&lt;=100ppm/C；耐压：&gt;=100V；功率：&gt;=0.125W</x:v>
      </x:c>
      <x:c r="K133" s="9" t="str">
        <x:v>X100_Physical:Official_Resistor_SMD_R_0805_2012Metric</x:v>
      </x:c>
      <x:c r="L133" s="9" t="str">
        <x:v>https://s.taobao.com/search?q=Yageo%20RC0805FR-0710KL%200805</x:v>
      </x:c>
      <x:c r="M133" s="9" t="str">
        <x:v>https://www.yageogroup.com/component-documentation/download/specsheet/RC0805FR-071KL</x:v>
      </x:c>
    </x:row>
    <x:row r="134" ht="48" customHeight="1">
      <x:c r="A134" s="9" t="str">
        <x:v>U101</x:v>
      </x:c>
      <x:c r="B134" s="9" t="str">
        <x:v>TPS54360BDDAR</x:v>
      </x:c>
      <x:c r="C134" s="9" t="str">
        <x:v>TI</x:v>
      </x:c>
      <x:c r="D134" s="10" t="str">
        <x:v>TPS54360BDDAR</x:v>
      </x:c>
      <x:c r="E134" s="10" t="str">
        <x:v>DDA0008B HSOIC8 EP</x:v>
      </x:c>
      <x:c r="F134" s="11" t="n">
        <x:v>1</x:v>
      </x:c>
      <x:c r="G134" s="9" t="str">
        <x:v>背面</x:v>
      </x:c>
      <x:c r="H134" s="9" t="str">
        <x:v>EXACT_MPN_FROZEN</x:v>
      </x:c>
      <x:c r="I134" s="9" t="str"/>
      <x:c r="J134" s="9" t="str"/>
      <x:c r="K134" s="9" t="str">
        <x:v>X100_Physical:TPS54360B_DDA0008B_NoVIP</x:v>
      </x:c>
      <x:c r="L134" s="9" t="str">
        <x:v>https://s.taobao.com/search?q=TI%20TPS54360BDDAR%20DDA0008B%20HSOIC8%20EP</x:v>
      </x:c>
      <x:c r="M134" s="9" t="str">
        <x:v>https://www.ti.com/lit/ds/symlink/tps54360b.pdf</x:v>
      </x:c>
    </x:row>
    <x:row r="135" ht="48" customHeight="1">
      <x:c r="A135" s="9" t="str">
        <x:v>U102</x:v>
      </x:c>
      <x:c r="B135" s="9" t="str">
        <x:v>AP63203WU-7</x:v>
      </x:c>
      <x:c r="C135" s="9" t="str">
        <x:v>Diodes</x:v>
      </x:c>
      <x:c r="D135" s="10" t="str">
        <x:v>AP63203WU-7</x:v>
      </x:c>
      <x:c r="E135" s="10" t="str">
        <x:v>TSOT26</x:v>
      </x:c>
      <x:c r="F135" s="11" t="n">
        <x:v>1</x:v>
      </x:c>
      <x:c r="G135" s="9" t="str">
        <x:v>背面</x:v>
      </x:c>
      <x:c r="H135" s="9" t="str">
        <x:v>EXACT_MPN_FROZEN</x:v>
      </x:c>
      <x:c r="I135" s="9" t="str"/>
      <x:c r="J135" s="9" t="str"/>
      <x:c r="K135" s="9" t="str">
        <x:v>X100_Physical:Official_Package_TO_SOT_SMD_TSOT-23-6</x:v>
      </x:c>
      <x:c r="L135" s="9" t="str">
        <x:v>https://s.taobao.com/search?q=Diodes%20AP63203WU-7%20TSOT26</x:v>
      </x:c>
      <x:c r="M135" s="9" t="str">
        <x:v>https://www.diodes.com/assets/Datasheets/AP63200-AP63201-AP63203-AP63205.pdf</x:v>
      </x:c>
    </x:row>
    <x:row r="136" ht="48" customHeight="1">
      <x:c r="A136" s="9" t="str">
        <x:v>U103</x:v>
      </x:c>
      <x:c r="B136" s="9" t="str">
        <x:v>TPS7A2033PDBVR</x:v>
      </x:c>
      <x:c r="C136" s="9" t="str">
        <x:v>TI</x:v>
      </x:c>
      <x:c r="D136" s="10" t="str">
        <x:v>TPS7A2033PDBVR</x:v>
      </x:c>
      <x:c r="E136" s="10" t="str">
        <x:v>DBV5 SOT23-5</x:v>
      </x:c>
      <x:c r="F136" s="11" t="n">
        <x:v>1</x:v>
      </x:c>
      <x:c r="G136" s="9" t="str">
        <x:v>正面</x:v>
      </x:c>
      <x:c r="H136" s="9" t="str">
        <x:v>EXACT_MPN_FROZEN</x:v>
      </x:c>
      <x:c r="I136" s="9" t="str"/>
      <x:c r="J136" s="9" t="str"/>
      <x:c r="K136" s="9" t="str">
        <x:v>X100_Physical:Official_Package_TO_SOT_SMD_SOT-23-5</x:v>
      </x:c>
      <x:c r="L136" s="9" t="str">
        <x:v>https://s.taobao.com/search?q=TI%20TPS7A2033PDBVR%20DBV5%20SOT23-5</x:v>
      </x:c>
      <x:c r="M136" s="9" t="str">
        <x:v>https://www.ti.com/lit/ds/symlink/tps7a20.pdf</x:v>
      </x:c>
    </x:row>
    <x:row r="137" ht="48" customHeight="1">
      <x:c r="A137" s="9" t="str">
        <x:v>U104</x:v>
      </x:c>
      <x:c r="B137" s="9" t="str">
        <x:v>TPS2553DBVR</x:v>
      </x:c>
      <x:c r="C137" s="9" t="str">
        <x:v>TI</x:v>
      </x:c>
      <x:c r="D137" s="10" t="str">
        <x:v>TPS2553DBVR</x:v>
      </x:c>
      <x:c r="E137" s="10" t="str">
        <x:v>DBV6 SOT23-6</x:v>
      </x:c>
      <x:c r="F137" s="11" t="n">
        <x:v>1</x:v>
      </x:c>
      <x:c r="G137" s="9" t="str">
        <x:v>背面</x:v>
      </x:c>
      <x:c r="H137" s="9" t="str">
        <x:v>EXACT_MPN_FROZEN</x:v>
      </x:c>
      <x:c r="I137" s="9" t="str"/>
      <x:c r="J137" s="9" t="str"/>
      <x:c r="K137" s="9" t="str">
        <x:v>X100_Physical:Official_Package_TO_SOT_SMD_SOT-23-6</x:v>
      </x:c>
      <x:c r="L137" s="9" t="str">
        <x:v>https://s.taobao.com/search?q=TI%20TPS2553DBVR%20DBV6%20SOT23-6</x:v>
      </x:c>
      <x:c r="M137" s="9" t="str">
        <x:v>https://www.ti.com/lit/ds/symlink/tps2553.pdf</x:v>
      </x:c>
    </x:row>
    <x:row r="138" ht="48" customHeight="1">
      <x:c r="A138" s="9" t="str">
        <x:v>U105</x:v>
      </x:c>
      <x:c r="B138" s="9" t="str">
        <x:v>TPS2116DRLR</x:v>
      </x:c>
      <x:c r="C138" s="9" t="str">
        <x:v>Texas Instruments</x:v>
      </x:c>
      <x:c r="D138" s="10" t="str">
        <x:v>TPS2116DRLR</x:v>
      </x:c>
      <x:c r="E138" s="10" t="str"/>
      <x:c r="F138" s="11" t="n">
        <x:v>1</x:v>
      </x:c>
      <x:c r="G138" s="9" t="str">
        <x:v>背面</x:v>
      </x:c>
      <x:c r="H138" s="9" t="str">
        <x:v>EXACT_MPN_CANDIDATE; NOT_APPROVED; NO_ORDER</x:v>
      </x:c>
      <x:c r="I138" s="9" t="str">
        <x:v>CANDIDATE; native ERC checked; functional/current/DFM not complete</x:v>
      </x:c>
      <x:c r="J138" s="9" t="str"/>
      <x:c r="K138" s="9" t="str">
        <x:v>Package_TO_SOT_SMD:SOT-583-8</x:v>
      </x:c>
      <x:c r="L138" s="9" t="str">
        <x:v>https://s.taobao.com/search?q=Texas%20Instruments%20TPS2116DRLR%20</x:v>
      </x:c>
      <x:c r="M138" s="9" t="str">
        <x:v>https://www.ti.com/lit/ds/symlink/tps2116.pdf</x:v>
      </x:c>
    </x:row>
    <x:row r="139" ht="48" customHeight="1">
      <x:c r="A139" s="9" t="str">
        <x:v>U106</x:v>
      </x:c>
      <x:c r="B139" s="9" t="str">
        <x:v>TPS2553DBVR</x:v>
      </x:c>
      <x:c r="C139" s="9" t="str">
        <x:v>Texas Instruments</x:v>
      </x:c>
      <x:c r="D139" s="10" t="str">
        <x:v>TPS2553DBVR</x:v>
      </x:c>
      <x:c r="E139" s="10" t="str"/>
      <x:c r="F139" s="11" t="n">
        <x:v>1</x:v>
      </x:c>
      <x:c r="G139" s="9" t="str">
        <x:v>背面</x:v>
      </x:c>
      <x:c r="H139" s="9" t="str">
        <x:v>EXACT_MPN_CANDIDATE; NOT_APPROVED; NO_ORDER</x:v>
      </x:c>
      <x:c r="I139" s="9" t="str">
        <x:v>CANDIDATE; native ERC checked; functional/current/DFM not complete</x:v>
      </x:c>
      <x:c r="J139" s="9" t="str"/>
      <x:c r="K139" s="9" t="str">
        <x:v>X100_Physical:Official_Package_TO_SOT_SMD_SOT-23-6</x:v>
      </x:c>
      <x:c r="L139" s="9" t="str">
        <x:v>https://s.taobao.com/search?q=Texas%20Instruments%20TPS2553DBVR%20</x:v>
      </x:c>
      <x:c r="M139" s="9" t="str">
        <x:v>https://www.ti.com/lit/ds/symlink/tps2553.pdf</x:v>
      </x:c>
    </x:row>
    <x:row r="140" ht="48" customHeight="1">
      <x:c r="A140" s="9" t="str">
        <x:v>U201</x:v>
      </x:c>
      <x:c r="B140" s="9" t="str">
        <x:v>STM32H743VIT6</x:v>
      </x:c>
      <x:c r="C140" s="9" t="str">
        <x:v>ST</x:v>
      </x:c>
      <x:c r="D140" s="10" t="str">
        <x:v>STM32H743VIT6</x:v>
      </x:c>
      <x:c r="E140" s="10" t="str">
        <x:v>LQFP100 14x14 P0.5</x:v>
      </x:c>
      <x:c r="F140" s="11" t="n">
        <x:v>1</x:v>
      </x:c>
      <x:c r="G140" s="9" t="str">
        <x:v>正面</x:v>
      </x:c>
      <x:c r="H140" s="9" t="str">
        <x:v>EXACT_MPN_FROZEN</x:v>
      </x:c>
      <x:c r="I140" s="9" t="str"/>
      <x:c r="J140" s="9" t="str"/>
      <x:c r="K140" s="9" t="str">
        <x:v>X100_Physical:Official_Package_QFP_LQFP-100_14x14mm_P0.5mm</x:v>
      </x:c>
      <x:c r="L140" s="9" t="str">
        <x:v>https://s.taobao.com/search?q=ST%20STM32H743VIT6%20LQFP100%2014x14%20P0.5</x:v>
      </x:c>
      <x:c r="M140" s="9" t="str">
        <x:v>https://www.st.com/resource/en/datasheet/stm32h743vi.pdf</x:v>
      </x:c>
    </x:row>
    <x:row r="141" ht="48" customHeight="1">
      <x:c r="A141" s="9" t="str">
        <x:v>U301</x:v>
      </x:c>
      <x:c r="B141" s="9" t="str">
        <x:v>BMI088</x:v>
      </x:c>
      <x:c r="C141" s="9" t="str">
        <x:v>Bosch</x:v>
      </x:c>
      <x:c r="D141" s="10" t="str">
        <x:v>BMI088</x:v>
      </x:c>
      <x:c r="E141" s="10" t="str">
        <x:v>LGA16 3x4.5</x:v>
      </x:c>
      <x:c r="F141" s="11" t="n">
        <x:v>1</x:v>
      </x:c>
      <x:c r="G141" s="9" t="str">
        <x:v>正面</x:v>
      </x:c>
      <x:c r="H141" s="9" t="str">
        <x:v>EXACT_MPN_FROZEN</x:v>
      </x:c>
      <x:c r="I141" s="9" t="str"/>
      <x:c r="J141" s="9" t="str"/>
      <x:c r="K141" s="9" t="str">
        <x:v>X100_Physical:Bosch_BMI088_LGA16</x:v>
      </x:c>
      <x:c r="L141" s="9" t="str">
        <x:v>https://s.taobao.com/search?q=Bosch%20BMI088%20LGA16%203x4.5</x:v>
      </x:c>
      <x:c r="M141" s="9" t="str">
        <x:v>https://www.bosch-sensortec.com/media/boschsensortec/downloads/datasheets/bst-bmi088-ds001.pdf</x:v>
      </x:c>
    </x:row>
    <x:row r="142" ht="48" customHeight="1">
      <x:c r="A142" s="9" t="str">
        <x:v>U302</x:v>
      </x:c>
      <x:c r="B142" s="9" t="str">
        <x:v>SPL06-001</x:v>
      </x:c>
      <x:c r="C142" s="9" t="str">
        <x:v>Goertek</x:v>
      </x:c>
      <x:c r="D142" s="10" t="str">
        <x:v>SPL06-001</x:v>
      </x:c>
      <x:c r="E142" s="10" t="str">
        <x:v>LGA8 2x2.5</x:v>
      </x:c>
      <x:c r="F142" s="11" t="n">
        <x:v>1</x:v>
      </x:c>
      <x:c r="G142" s="9" t="str">
        <x:v>正面</x:v>
      </x:c>
      <x:c r="H142" s="9" t="str">
        <x:v>EXACT_MPN_FROZEN</x:v>
      </x:c>
      <x:c r="I142" s="9" t="str"/>
      <x:c r="J142" s="9" t="str"/>
      <x:c r="K142" s="9" t="str">
        <x:v>X100_Physical:Goertek_SPL06_001_LGA8</x:v>
      </x:c>
      <x:c r="L142" s="9" t="str">
        <x:v>https://s.taobao.com/search?q=Goertek%20SPL06-001%20LGA8%202x2.5</x:v>
      </x:c>
      <x:c r="M142" s="9" t="str">
        <x:v>${KIPRJMOD}/../../docs/Components/Barometer/SPL06-001/Goertek_SPL06-001_Datasheet_V7.0.pdf</x:v>
      </x:c>
    </x:row>
    <x:row r="143" ht="48" customHeight="1">
      <x:c r="A143" s="9" t="str">
        <x:v>U401</x:v>
      </x:c>
      <x:c r="B143" s="9" t="str">
        <x:v>TPD4E1U06DBVR</x:v>
      </x:c>
      <x:c r="C143" s="9" t="str">
        <x:v>TI</x:v>
      </x:c>
      <x:c r="D143" s="10" t="str">
        <x:v>TPD4E1U06DBVR</x:v>
      </x:c>
      <x:c r="E143" s="10" t="str">
        <x:v>DBV SOT-23-6</x:v>
      </x:c>
      <x:c r="F143" s="11" t="n">
        <x:v>1</x:v>
      </x:c>
      <x:c r="G143" s="9" t="str">
        <x:v>正面</x:v>
      </x:c>
      <x:c r="H143" s="9" t="str">
        <x:v>USER_APPROVED_OPTIMIZATION; no purchase</x:v>
      </x:c>
      <x:c r="I143" s="9" t="str">
        <x:v>Schematic candidate; PCB/ESD system test pending</x:v>
      </x:c>
      <x:c r="J143" s="9" t="str"/>
      <x:c r="K143" s="9" t="str">
        <x:v>Package_TO_SOT_SMD:SOT-23-6</x:v>
      </x:c>
      <x:c r="L143" s="9" t="str">
        <x:v>https://s.taobao.com/search?q=TI%20TPD4E1U06DBVR%20DBV%20SOT-23-6</x:v>
      </x:c>
      <x:c r="M143" s="9" t="str">
        <x:v>https://www.ti.com/lit/ds/symlink/tpd4e1u06.pdf</x:v>
      </x:c>
    </x:row>
    <x:row r="144" ht="48" customHeight="1">
      <x:c r="A144" s="9" t="str">
        <x:v>U402</x:v>
      </x:c>
      <x:c r="B144" s="9" t="str">
        <x:v>SN74LVC1G17DBVR</x:v>
      </x:c>
      <x:c r="C144" s="9" t="str">
        <x:v>TI</x:v>
      </x:c>
      <x:c r="D144" s="10" t="str">
        <x:v>SN74LVC1G17DBVR</x:v>
      </x:c>
      <x:c r="E144" s="10" t="str">
        <x:v>DBV5 SOT23-5</x:v>
      </x:c>
      <x:c r="F144" s="11" t="n">
        <x:v>1</x:v>
      </x:c>
      <x:c r="G144" s="9" t="str">
        <x:v>背面</x:v>
      </x:c>
      <x:c r="H144" s="9" t="str">
        <x:v>EXACT_MPN_FROZEN</x:v>
      </x:c>
      <x:c r="I144" s="9" t="str"/>
      <x:c r="J144" s="9" t="str"/>
      <x:c r="K144" s="9" t="str">
        <x:v>X100_Physical:Official_Package_TO_SOT_SMD_SOT-23-5</x:v>
      </x:c>
      <x:c r="L144" s="9" t="str">
        <x:v>https://s.taobao.com/search?q=TI%20SN74LVC1G17DBVR%20DBV5%20SOT23-5</x:v>
      </x:c>
      <x:c r="M144" s="9" t="str">
        <x:v>https://www.ti.com/lit/ds/symlink/sn74lvc1g17.pdf</x:v>
      </x:c>
    </x:row>
    <x:row r="145" ht="48" customHeight="1">
      <x:c r="A145" s="9" t="str">
        <x:v>U403</x:v>
      </x:c>
      <x:c r="B145" s="9" t="str">
        <x:v>TPD2E2U06QDBZRQ1</x:v>
      </x:c>
      <x:c r="C145" s="9" t="str">
        <x:v>Texas Instruments</x:v>
      </x:c>
      <x:c r="D145" s="10" t="str">
        <x:v>TPD2E2U06QDBZRQ1</x:v>
      </x:c>
      <x:c r="E145" s="10" t="str">
        <x:v>DBZ / SOT-23-3</x:v>
      </x:c>
      <x:c r="F145" s="11" t="n">
        <x:v>1</x:v>
      </x:c>
      <x:c r="G145" s="9" t="str">
        <x:v>背面</x:v>
      </x:c>
      <x:c r="H145" s="9" t="str">
        <x:v>EXACT_MPN_AUTHORIZED_PCB01F3; supplier listed; not ordered</x:v>
      </x:c>
      <x:c r="I145" s="9" t="str"/>
      <x:c r="J145" s="9" t="str"/>
      <x:c r="K145" s="9" t="str">
        <x:v>X100_Physical:TI_TPD2E2U06_DBZ0003A</x:v>
      </x:c>
      <x:c r="L145" s="9" t="str">
        <x:v>https://s.taobao.com/search?q=Texas%20Instruments%20TPD2E2U06QDBZRQ1%20DBZ%20/%20SOT-23-3</x:v>
      </x:c>
      <x:c r="M145" s="9" t="str">
        <x:v>https://www.ti.com/lit/ds/symlink/tpd2e2u06-q1.pdf</x:v>
      </x:c>
    </x:row>
    <x:row r="146" ht="48" customHeight="1">
      <x:c r="A146" s="9" t="str">
        <x:v>U601</x:v>
      </x:c>
      <x:c r="B146" s="9" t="str">
        <x:v>TCAN3414DR</x:v>
      </x:c>
      <x:c r="C146" s="9" t="str">
        <x:v>Texas Instruments</x:v>
      </x:c>
      <x:c r="D146" s="10" t="str">
        <x:v>TCAN3414DR</x:v>
      </x:c>
      <x:c r="E146" s="10" t="str">
        <x:v>TI D0008A SOIC-8</x:v>
      </x:c>
      <x:c r="F146" s="11" t="n">
        <x:v>1</x:v>
      </x:c>
      <x:c r="G146" s="9" t="str">
        <x:v>背面</x:v>
      </x:c>
      <x:c r="H146" s="9" t="str">
        <x:v>EXACT_MPN_FROZEN</x:v>
      </x:c>
      <x:c r="I146" s="9" t="str"/>
      <x:c r="J146" s="9" t="str"/>
      <x:c r="K146" s="9" t="str">
        <x:v>X100_Physical:TCAN3414_D0008A_SOIC8</x:v>
      </x:c>
      <x:c r="L146" s="9" t="str">
        <x:v>https://s.taobao.com/search?q=Texas%20Instruments%20TCAN3414DR%20TI%20D0008A%20SOIC-8</x:v>
      </x:c>
      <x:c r="M146" s="9" t="str">
        <x:v>https://www.ti.com/lit/ds/symlink/tcan3414.pdf</x:v>
      </x:c>
    </x:row>
    <x:row r="147" ht="48" customHeight="1">
      <x:c r="A147" s="9" t="str">
        <x:v>U801</x:v>
      </x:c>
      <x:c r="B147" s="9" t="str">
        <x:v>TMUX1511PWR</x:v>
      </x:c>
      <x:c r="C147" s="9" t="str">
        <x:v>TI</x:v>
      </x:c>
      <x:c r="D147" s="10" t="str">
        <x:v>TMUX1511PWR</x:v>
      </x:c>
      <x:c r="E147" s="10" t="str">
        <x:v>PW14 TSSOP14 0.65mm visible leads</x:v>
      </x:c>
      <x:c r="F147" s="11" t="n">
        <x:v>1</x:v>
      </x:c>
      <x:c r="G147" s="9" t="str">
        <x:v>正面</x:v>
      </x:c>
      <x:c r="H147" s="9" t="str">
        <x:v>EXACT_MPN_FROZEN</x:v>
      </x:c>
      <x:c r="I147" s="9" t="str"/>
      <x:c r="J147" s="9" t="str"/>
      <x:c r="K147" s="9" t="str">
        <x:v>X100_Physical:Official_Package_SO_TSSOP-14_4.4x5mm_P0.65mm</x:v>
      </x:c>
      <x:c r="L147" s="9" t="str">
        <x:v>https://s.taobao.com/search?q=TI%20TMUX1511PWR%20PW14%20TSSOP14%200.65mm%20visible%20leads</x:v>
      </x:c>
      <x:c r="M147" s="9" t="str">
        <x:v>https://www.ti.com/lit/ds/symlink/tmux1511.pdf</x:v>
      </x:c>
    </x:row>
    <x:row r="148" ht="48" customHeight="1">
      <x:c r="A148" s="9" t="str">
        <x:v>Y201</x:v>
      </x:c>
      <x:c r="B148" s="9" t="str">
        <x:v>8.000MHz /CL20pF</x:v>
      </x:c>
      <x:c r="C148" s="9" t="str">
        <x:v>TAITIEN</x:v>
      </x:c>
      <x:c r="D148" s="10" t="str">
        <x:v>XJHCELNANF-8M</x:v>
      </x:c>
      <x:c r="E148" s="10" t="str">
        <x:v>HC49-class 2SMD 12.5x4.5x4</x:v>
      </x:c>
      <x:c r="F148" s="11" t="n">
        <x:v>1</x:v>
      </x:c>
      <x:c r="G148" s="9" t="str">
        <x:v>正面</x:v>
      </x:c>
      <x:c r="H148" s="9" t="str">
        <x:v>EXACT_MPN_FROZEN</x:v>
      </x:c>
      <x:c r="I148" s="9" t="str"/>
      <x:c r="J148" s="9" t="str"/>
      <x:c r="K148" s="9" t="str">
        <x:v>X100_Physical:Taitien_XJ_2Pad_5p5x2p0_P9p0</x:v>
      </x:c>
      <x:c r="L148" s="9" t="str">
        <x:v>https://s.taobao.com/search?q=TAITIEN%20XJHCELNANF-8M%20HC49-class%202SMD%2012.5x4.5x4</x:v>
      </x:c>
      <x:c r="M148" s="9" t="str">
        <x:v>https://www.taitien.com/wp-content/uploads/2015/12/AT-0020_XJ.pdf</x:v>
      </x:c>
    </x:row>
  </x:sheetData>
  <x:pageMargins left="0.7" right="0.7" top="0.75" bottom="0.75" header="0.3" footer="0.3"/>
  <x:tableParts count="1">
    <x:tablePart xmlns:r="http://schemas.openxmlformats.org/officeDocument/2006/relationships" r:id="Rb7227d64ce2d45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5" hidden="0" customWidth="1"/>
    <x:col min="2" max="2" width="45" hidden="0" customWidth="1"/>
    <x:col min="3" max="3" width="58" hidden="0" customWidth="1"/>
    <x:col min="4" max="4" width="16" hidden="0" customWidth="1"/>
    <x:col min="5" max="5" width="72" hidden="0" customWidth="1"/>
    <x:col min="6" max="6" width="7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配套采购与不需采购的板上实体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 t="str">
        <x:v>线束来源：JST GH 官方系列页；microSD沿用项目已记录规格，完整卡型号尚未冻结。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8" t="str">
        <x:v>项目</x:v>
      </x:c>
      <x:c r="B6" s="8" t="str">
        <x:v>完整型号或未定项</x:v>
      </x:c>
      <x:c r="C6" s="8" t="str">
        <x:v>一板参考量</x:v>
      </x:c>
      <x:c r="D6" s="8" t="str">
        <x:v>本次板数用量</x:v>
      </x:c>
      <x:c r="E6" s="8" t="str">
        <x:v>采购说明</x:v>
      </x:c>
      <x:c r="F6" s="8" t="str">
        <x:v>来源</x:v>
      </x:c>
    </x:row>
    <x:row r="7" ht="65" customHeight="1">
      <x:c r="A7" s="9" t="str">
        <x:v>GH 4P成品线或对插壳</x:v>
      </x:c>
      <x:c r="B7" s="9" t="str">
        <x:v>GHR-04V-S</x:v>
      </x:c>
      <x:c r="C7" s="9" t="n">
        <x:v>2</x:v>
      </x:c>
      <x:c r="D7" s="9" t="n">
        <x:f>C7*'采购汇总'!$B$4</x:f>
        <x:v>2</x:v>
      </x:c>
      <x:c r="E7" s="9" t="str">
        <x:v>对应J601/J704；GH 1.25mm，线序按板上引脚；不是PH/SH。成品线与壳+端子方案二选一。</x:v>
      </x:c>
      <x:c r="F7" s="9" t="str">
        <x:v>https://www.jst-mfg.com/product/index.php?lang=2&amp;series=105</x:v>
      </x:c>
    </x:row>
    <x:row r="8" ht="65" customHeight="1">
      <x:c r="A8" s="9" t="str">
        <x:v>GH 6P成品线或对插壳</x:v>
      </x:c>
      <x:c r="B8" s="9" t="str">
        <x:v>GHR-06V-S</x:v>
      </x:c>
      <x:c r="C8" s="9" t="n">
        <x:v>4</x:v>
      </x:c>
      <x:c r="D8" s="9" t="n">
        <x:f>C8*'采购汇总'!$B$4</x:f>
        <x:v>4</x:v>
      </x:c>
      <x:c r="E8" s="9" t="str">
        <x:v>对应J701/J702/J703/J809；两端线序、长度及外围设备接口未冻结。</x:v>
      </x:c>
      <x:c r="F8" s="9" t="str">
        <x:v>https://www.jst-mfg.com/product/index.php?lang=2&amp;series=105</x:v>
      </x:c>
    </x:row>
    <x:row r="9" ht="65" customHeight="1">
      <x:c r="A9" s="9" t="str">
        <x:v>GH压接端子（买成品线可不另买）</x:v>
      </x:c>
      <x:c r="B9" s="9" t="str">
        <x:v>SSHL-002T-P0.2</x:v>
      </x:c>
      <x:c r="C9" s="9" t="n">
        <x:v>32</x:v>
      </x:c>
      <x:c r="D9" s="9" t="n">
        <x:f>C9*'采购汇总'!$B$4</x:f>
        <x:v>32</x:v>
      </x:c>
      <x:c r="E9" s="9" t="str">
        <x:v>只计算本板一端6个GH接口全部接满的触点数；完整双端线束另计。</x:v>
      </x:c>
      <x:c r="F9" s="9" t="str">
        <x:v>https://www.jst-mfg.com/product/index.php?lang=2&amp;series=105</x:v>
      </x:c>
    </x:row>
    <x:row r="10" ht="65" customHeight="1">
      <x:c r="A10" s="9" t="str">
        <x:v>microSD卡本体</x:v>
      </x:c>
      <x:c r="B10" s="9" t="str">
        <x:v>未冻结完整型号</x:v>
      </x:c>
      <x:c r="C10" s="9" t="n">
        <x:v>1</x:v>
      </x:c>
      <x:c r="D10" s="9" t="n">
        <x:f>C10*'采购汇总'!$B$4</x:f>
        <x:v>1</x:v>
      </x:c>
      <x:c r="E10" s="9" t="str">
        <x:v>已有要求：microSDHC 16/32GB、3.3V、FAT32；启动/初始化/读写峰值均≤200mA需完整型号资料或验证。Molex1040310811是卡座。</x:v>
      </x:c>
      <x:c r="F10" s="9" t="str">
        <x:v>项目已记录的配套要求</x:v>
      </x:c>
    </x:row>
    <x:row r="11" ht="65" customHeight="1">
      <x:c r="A11" s="9" t="str">
        <x:v>USB数据线</x:v>
      </x:c>
      <x:c r="B11" s="9" t="str">
        <x:v>完整型号未冻结</x:v>
      </x:c>
      <x:c r="C11" s="9" t="str">
        <x:v>未定</x:v>
      </x:c>
      <x:c r="D11" s="9" t="str">
        <x:f>"未定"</x:f>
        <x:v>未定</x:v>
      </x:c>
      <x:c r="E11" s="9" t="str">
        <x:v>需带数据功能；验证USB-A→C与C→C兼容性，不能只买充电线。</x:v>
      </x:c>
      <x:c r="F11" s="9" t="str">
        <x:v>项目已记录的配套要求</x:v>
      </x:c>
    </x:row>
    <x:row r="12" ht="65" customHeight="1">
      <x:c r="A12" s="9" t="str">
        <x:v>电池引线/外接插头</x:v>
      </x:c>
      <x:c r="B12" s="9" t="str">
        <x:v>线径、插头及长度未冻结</x:v>
      </x:c>
      <x:c r="C12" s="9" t="str">
        <x:v>未定</x:v>
      </x:c>
      <x:c r="D12" s="9" t="str">
        <x:f>"未定"</x:f>
        <x:v>未定</x:v>
      </x:c>
      <x:c r="E12" s="9" t="str">
        <x:v>J808是PCB直接焊线焊盘，不采购一个名为VBAT_PAD_PAIR_V1的连接器。</x:v>
      </x:c>
      <x:c r="F12" s="9" t="str">
        <x:v>项目已记录的配套要求</x:v>
      </x:c>
    </x:row>
    <x:row r="13" ht="65" customHeight="1">
      <x:c r="A13" s="9" t="str">
        <x:v>安装件</x:v>
      </x:c>
      <x:c r="B13" s="9" t="str">
        <x:v>M3尼龙螺钉/尼龙平垫圈，长度未冻结</x:v>
      </x:c>
      <x:c r="C13" s="9" t="str">
        <x:v>未定</x:v>
      </x:c>
      <x:c r="D13" s="9" t="str">
        <x:f>"未定"</x:f>
        <x:v>未定</x:v>
      </x:c>
      <x:c r="E13" s="9" t="str">
        <x:v>四个Ø4 NPTH，正反面接触包络最大Ø7；安装高度/螺钉长度另定。</x:v>
      </x:c>
      <x:c r="F13" s="9" t="str">
        <x:v>项目已记录的配套要求</x:v>
      </x:c>
    </x:row>
    <x:row r="14" ht="65" customHeight="1">
      <x:c r="A14" s="9" t="str">
        <x:v>SWD调试器/转接线</x:v>
      </x:c>
      <x:c r="B14" s="9" t="str">
        <x:v>未冻结完整型号</x:v>
      </x:c>
      <x:c r="C14" s="9" t="str">
        <x:v>未定</x:v>
      </x:c>
      <x:c r="D14" s="9" t="str">
        <x:f>"未定"</x:f>
        <x:v>未定</x:v>
      </x:c>
      <x:c r="E14" s="9" t="str">
        <x:v>须支持STM32H743；J807为1×5、2.54mm接口，按引脚表接线。</x:v>
      </x:c>
      <x:c r="F14" s="9" t="str">
        <x:v>项目已记录的配套要求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 t="str">
        <x:v>以下32个PCB实体不采购元器件：26个测点、4个安装孔、JP601焊锡桥、J808焊线焊盘。</x:v>
      </x:c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 ht="30" customHeight="1">
      <x:c r="A19" s="8" t="str">
        <x:v>位号</x:v>
      </x:c>
      <x:c r="B19" s="8" t="str">
        <x:v>名称</x:v>
      </x:c>
      <x:c r="C19" s="8" t="str">
        <x:v>不采购原因</x:v>
      </x:c>
      <x:c r="D19" s="2"/>
      <x:c r="E19" s="2"/>
      <x:c r="F19" s="2"/>
    </x:row>
    <x:row r="20" ht="30" customHeight="1">
      <x:c r="A20" s="2" t="str">
        <x:v>TP101</x:v>
      </x:c>
      <x:c r="B20" s="2" t="str">
        <x:v>VBAT_RAW</x:v>
      </x:c>
      <x:c r="C20" s="2" t="str">
        <x:v>PCB裸铜测点，无需购买测试点元件</x:v>
      </x:c>
      <x:c r="D20" s="2"/>
      <x:c r="E20" s="2"/>
      <x:c r="F20" s="2"/>
    </x:row>
    <x:row r="21" ht="30" customHeight="1">
      <x:c r="A21" s="2" t="str">
        <x:v>TP103</x:v>
      </x:c>
      <x:c r="B21" s="2" t="str">
        <x:v>VBAT_PROTECTED</x:v>
      </x:c>
      <x:c r="C21" s="2" t="str">
        <x:v>PCB裸铜测点，无需购买测试点元件</x:v>
      </x:c>
      <x:c r="D21" s="2"/>
      <x:c r="E21" s="2"/>
      <x:c r="F21" s="2"/>
    </x:row>
    <x:row r="22" ht="30" customHeight="1">
      <x:c r="A22" s="2" t="str">
        <x:v>TP104</x:v>
      </x:c>
      <x:c r="B22" s="2" t="str">
        <x:v>5V_MAIN</x:v>
      </x:c>
      <x:c r="C22" s="2" t="str">
        <x:v>PCB裸铜测点，无需购买测试点元件</x:v>
      </x:c>
      <x:c r="D22" s="2"/>
      <x:c r="E22" s="2"/>
      <x:c r="F22" s="2"/>
    </x:row>
    <x:row r="23" ht="30" customHeight="1">
      <x:c r="A23" s="2" t="str">
        <x:v>TP105</x:v>
      </x:c>
      <x:c r="B23" s="2" t="str">
        <x:v>3V3_MCU</x:v>
      </x:c>
      <x:c r="C23" s="2" t="str">
        <x:v>PCB裸铜测点，无需购买测试点元件</x:v>
      </x:c>
      <x:c r="D23" s="2"/>
      <x:c r="E23" s="2"/>
      <x:c r="F23" s="2"/>
    </x:row>
    <x:row r="24" ht="30" customHeight="1">
      <x:c r="A24" s="2" t="str">
        <x:v>TP106</x:v>
      </x:c>
      <x:c r="B24" s="2" t="str">
        <x:v>SENSOR_LDO_IN</x:v>
      </x:c>
      <x:c r="C24" s="2" t="str">
        <x:v>PCB裸铜测点，无需购买测试点元件</x:v>
      </x:c>
      <x:c r="D24" s="2"/>
      <x:c r="E24" s="2"/>
      <x:c r="F24" s="2"/>
    </x:row>
    <x:row r="25" ht="30" customHeight="1">
      <x:c r="A25" s="2" t="str">
        <x:v>TP107</x:v>
      </x:c>
      <x:c r="B25" s="2" t="str">
        <x:v>3V3_SENSOR</x:v>
      </x:c>
      <x:c r="C25" s="2" t="str">
        <x:v>PCB裸铜测点，无需购买测试点元件</x:v>
      </x:c>
      <x:c r="D25" s="2"/>
      <x:c r="E25" s="2"/>
      <x:c r="F25" s="2"/>
    </x:row>
    <x:row r="26" ht="30" customHeight="1">
      <x:c r="A26" s="2" t="str">
        <x:v>TP109</x:v>
      </x:c>
      <x:c r="B26" s="2" t="str">
        <x:v>EXT_5V</x:v>
      </x:c>
      <x:c r="C26" s="2" t="str">
        <x:v>PCB裸铜测点，无需购买测试点元件</x:v>
      </x:c>
      <x:c r="D26" s="2"/>
      <x:c r="E26" s="2"/>
      <x:c r="F26" s="2"/>
    </x:row>
    <x:row r="27" ht="30" customHeight="1">
      <x:c r="A27" s="2" t="str">
        <x:v>TP110</x:v>
      </x:c>
      <x:c r="B27" s="2" t="str">
        <x:v>EXT_FAULT</x:v>
      </x:c>
      <x:c r="C27" s="2" t="str">
        <x:v>PCB裸铜测点，无需购买测试点元件</x:v>
      </x:c>
      <x:c r="D27" s="2"/>
      <x:c r="E27" s="2"/>
      <x:c r="F27" s="2"/>
    </x:row>
    <x:row r="28" ht="30" customHeight="1">
      <x:c r="A28" s="2" t="str">
        <x:v>TP111</x:v>
      </x:c>
      <x:c r="B28" s="2" t="str">
        <x:v>GND</x:v>
      </x:c>
      <x:c r="C28" s="2" t="str">
        <x:v>PCB裸铜测点，无需购买测试点元件</x:v>
      </x:c>
      <x:c r="D28" s="2"/>
      <x:c r="E28" s="2"/>
      <x:c r="F28" s="2"/>
    </x:row>
    <x:row r="29" ht="30" customHeight="1">
      <x:c r="A29" s="2" t="str">
        <x:v>TP202</x:v>
      </x:c>
      <x:c r="B29" s="2" t="str">
        <x:v>BOOT0</x:v>
      </x:c>
      <x:c r="C29" s="2" t="str">
        <x:v>PCB裸铜测点，无需购买测试点元件</x:v>
      </x:c>
      <x:c r="D29" s="2"/>
      <x:c r="E29" s="2"/>
      <x:c r="F29" s="2"/>
    </x:row>
    <x:row r="30" ht="30" customHeight="1">
      <x:c r="A30" s="2" t="str">
        <x:v>TP204</x:v>
      </x:c>
      <x:c r="B30" s="2" t="str">
        <x:v>MCU_VDDA</x:v>
      </x:c>
      <x:c r="C30" s="2" t="str">
        <x:v>PCB裸铜测点，无需购买测试点元件</x:v>
      </x:c>
      <x:c r="D30" s="2"/>
      <x:c r="E30" s="2"/>
      <x:c r="F30" s="2"/>
    </x:row>
    <x:row r="31" ht="30" customHeight="1">
      <x:c r="A31" s="2" t="str">
        <x:v>TP205</x:v>
      </x:c>
      <x:c r="B31" s="2" t="str">
        <x:v>VCAP1</x:v>
      </x:c>
      <x:c r="C31" s="2" t="str">
        <x:v>PCB裸铜测点，无需购买测试点元件</x:v>
      </x:c>
      <x:c r="D31" s="2"/>
      <x:c r="E31" s="2"/>
      <x:c r="F31" s="2"/>
    </x:row>
    <x:row r="32" ht="30" customHeight="1">
      <x:c r="A32" s="2" t="str">
        <x:v>TP206</x:v>
      </x:c>
      <x:c r="B32" s="2" t="str">
        <x:v>VCAP2</x:v>
      </x:c>
      <x:c r="C32" s="2" t="str">
        <x:v>PCB裸铜测点，无需购买测试点元件</x:v>
      </x:c>
      <x:c r="D32" s="2"/>
      <x:c r="E32" s="2"/>
      <x:c r="F32" s="2"/>
    </x:row>
    <x:row r="33" ht="30" customHeight="1">
      <x:c r="A33" s="2" t="str">
        <x:v>TP208</x:v>
      </x:c>
      <x:c r="B33" s="2" t="str">
        <x:v>GND</x:v>
      </x:c>
      <x:c r="C33" s="2" t="str">
        <x:v>PCB裸铜测点，无需购买测试点元件</x:v>
      </x:c>
      <x:c r="D33" s="2"/>
      <x:c r="E33" s="2"/>
      <x:c r="F33" s="2"/>
    </x:row>
    <x:row r="34" ht="30" customHeight="1">
      <x:c r="A34" s="2" t="str">
        <x:v>TP302</x:v>
      </x:c>
      <x:c r="B34" s="2" t="str">
        <x:v>SPI1_SCK</x:v>
      </x:c>
      <x:c r="C34" s="2" t="str">
        <x:v>PCB裸铜测点，无需购买测试点元件</x:v>
      </x:c>
      <x:c r="D34" s="2"/>
      <x:c r="E34" s="2"/>
      <x:c r="F34" s="2"/>
    </x:row>
    <x:row r="35" ht="30" customHeight="1">
      <x:c r="A35" s="2" t="str">
        <x:v>TP303</x:v>
      </x:c>
      <x:c r="B35" s="2" t="str">
        <x:v>SPI1_MOSI</x:v>
      </x:c>
      <x:c r="C35" s="2" t="str">
        <x:v>PCB裸铜测点，无需购买测试点元件</x:v>
      </x:c>
      <x:c r="D35" s="2"/>
      <x:c r="E35" s="2"/>
      <x:c r="F35" s="2"/>
    </x:row>
    <x:row r="36" ht="30" customHeight="1">
      <x:c r="A36" s="2" t="str">
        <x:v>TP304</x:v>
      </x:c>
      <x:c r="B36" s="2" t="str">
        <x:v>SPI1_MISO</x:v>
      </x:c>
      <x:c r="C36" s="2" t="str">
        <x:v>PCB裸铜测点，无需购买测试点元件</x:v>
      </x:c>
      <x:c r="D36" s="2"/>
      <x:c r="E36" s="2"/>
      <x:c r="F36" s="2"/>
    </x:row>
    <x:row r="37" ht="30" customHeight="1">
      <x:c r="A37" s="2" t="str">
        <x:v>TP305</x:v>
      </x:c>
      <x:c r="B37" s="2" t="str">
        <x:v>BMI088_ACC_CS</x:v>
      </x:c>
      <x:c r="C37" s="2" t="str">
        <x:v>PCB裸铜测点，无需购买测试点元件</x:v>
      </x:c>
      <x:c r="D37" s="2"/>
      <x:c r="E37" s="2"/>
      <x:c r="F37" s="2"/>
    </x:row>
    <x:row r="38" ht="30" customHeight="1">
      <x:c r="A38" s="2" t="str">
        <x:v>TP306</x:v>
      </x:c>
      <x:c r="B38" s="2" t="str">
        <x:v>BMI088_GYRO_CS</x:v>
      </x:c>
      <x:c r="C38" s="2" t="str">
        <x:v>PCB裸铜测点，无需购买测试点元件</x:v>
      </x:c>
      <x:c r="D38" s="2"/>
      <x:c r="E38" s="2"/>
      <x:c r="F38" s="2"/>
    </x:row>
    <x:row r="39" ht="30" customHeight="1">
      <x:c r="A39" s="2" t="str">
        <x:v>TP307</x:v>
      </x:c>
      <x:c r="B39" s="2" t="str">
        <x:v>BARO_I2C2_SCL</x:v>
      </x:c>
      <x:c r="C39" s="2" t="str">
        <x:v>PCB裸铜测点，无需购买测试点元件</x:v>
      </x:c>
      <x:c r="D39" s="2"/>
      <x:c r="E39" s="2"/>
      <x:c r="F39" s="2"/>
    </x:row>
    <x:row r="40" ht="30" customHeight="1">
      <x:c r="A40" s="2" t="str">
        <x:v>TP308</x:v>
      </x:c>
      <x:c r="B40" s="2" t="str">
        <x:v>BARO_I2C2_SDA</x:v>
      </x:c>
      <x:c r="C40" s="2" t="str">
        <x:v>PCB裸铜测点，无需购买测试点元件</x:v>
      </x:c>
      <x:c r="D40" s="2"/>
      <x:c r="E40" s="2"/>
      <x:c r="F40" s="2"/>
    </x:row>
    <x:row r="41" ht="30" customHeight="1">
      <x:c r="A41" s="2" t="str">
        <x:v>TP401</x:v>
      </x:c>
      <x:c r="B41" s="2" t="str">
        <x:v>USB_VBUS_RAW</x:v>
      </x:c>
      <x:c r="C41" s="2" t="str">
        <x:v>PCB裸铜测点，无需购买测试点元件</x:v>
      </x:c>
      <x:c r="D41" s="2"/>
      <x:c r="E41" s="2"/>
      <x:c r="F41" s="2"/>
    </x:row>
    <x:row r="42" ht="30" customHeight="1">
      <x:c r="A42" s="2" t="str">
        <x:v>TP405</x:v>
      </x:c>
      <x:c r="B42" s="2" t="str">
        <x:v>GND</x:v>
      </x:c>
      <x:c r="C42" s="2" t="str">
        <x:v>PCB裸铜测点，无需购买测试点元件</x:v>
      </x:c>
      <x:c r="D42" s="2"/>
      <x:c r="E42" s="2"/>
      <x:c r="F42" s="2"/>
    </x:row>
    <x:row r="43" ht="30" customHeight="1">
      <x:c r="A43" s="2" t="str">
        <x:v>TP501</x:v>
      </x:c>
      <x:c r="B43" s="2" t="str">
        <x:v>3V3_SD</x:v>
      </x:c>
      <x:c r="C43" s="2" t="str">
        <x:v>PCB裸铜测点，无需购买测试点元件</x:v>
      </x:c>
      <x:c r="D43" s="2"/>
      <x:c r="E43" s="2"/>
      <x:c r="F43" s="2"/>
    </x:row>
    <x:row r="44" ht="30" customHeight="1">
      <x:c r="A44" s="2" t="str">
        <x:v>JP601</x:v>
      </x:c>
      <x:c r="B44" s="2" t="str">
        <x:v>CAN TERM 120R / OPEN</x:v>
      </x:c>
      <x:c r="C44" s="2" t="str">
        <x:v>PCB焊锡跳线，不购买开关</x:v>
      </x:c>
      <x:c r="D44" s="2"/>
      <x:c r="E44" s="2"/>
      <x:c r="F44" s="2"/>
    </x:row>
    <x:row r="45" ht="30" customHeight="1">
      <x:c r="A45" s="2" t="str">
        <x:v>J808</x:v>
      </x:c>
      <x:c r="B45" s="2" t="str">
        <x:v>BATTERY/bench3S-6S ONLY</x:v>
      </x:c>
      <x:c r="C45" s="2" t="str">
        <x:v>直接焊线焊盘，不购买上板连接器</x:v>
      </x:c>
      <x:c r="D45" s="2"/>
      <x:c r="E45" s="2"/>
      <x:c r="F45" s="2"/>
    </x:row>
    <x:row r="46" ht="30" customHeight="1">
      <x:c r="A46" s="2" t="str">
        <x:v>TP803</x:v>
      </x:c>
      <x:c r="B46" s="2" t="str">
        <x:v>VBAT_ADC</x:v>
      </x:c>
      <x:c r="C46" s="2" t="str">
        <x:v>PCB裸铜测点，无需购买测试点元件</x:v>
      </x:c>
      <x:c r="D46" s="2"/>
      <x:c r="E46" s="2"/>
      <x:c r="F46" s="2"/>
    </x:row>
    <x:row r="47" ht="30" customHeight="1">
      <x:c r="A47" s="2" t="str">
        <x:v>TP805</x:v>
      </x:c>
      <x:c r="B47" s="2" t="str">
        <x:v>CURRENT_ADC</x:v>
      </x:c>
      <x:c r="C47" s="2" t="str">
        <x:v>PCB裸铜测点，无需购买测试点元件</x:v>
      </x:c>
      <x:c r="D47" s="2"/>
      <x:c r="E47" s="2"/>
      <x:c r="F47" s="2"/>
    </x:row>
    <x:row r="48" ht="30" customHeight="1">
      <x:c r="A48" s="2" t="str">
        <x:v>H1</x:v>
      </x:c>
      <x:c r="B48" s="2" t="str">
        <x:v>Ø4 NPTH</x:v>
      </x:c>
      <x:c r="C48" s="2" t="str">
        <x:v>PCB安装孔，不是BOM实物；螺钉另列配套</x:v>
      </x:c>
      <x:c r="D48" s="2"/>
      <x:c r="E48" s="2"/>
      <x:c r="F48" s="2"/>
    </x:row>
    <x:row r="49" ht="30" customHeight="1">
      <x:c r="A49" s="2" t="str">
        <x:v>H2</x:v>
      </x:c>
      <x:c r="B49" s="2" t="str">
        <x:v>Ø4 NPTH</x:v>
      </x:c>
      <x:c r="C49" s="2" t="str">
        <x:v>PCB安装孔，不是BOM实物；螺钉另列配套</x:v>
      </x:c>
      <x:c r="D49" s="2"/>
      <x:c r="E49" s="2"/>
      <x:c r="F49" s="2"/>
    </x:row>
    <x:row r="50" ht="30" customHeight="1">
      <x:c r="A50" s="2" t="str">
        <x:v>H3</x:v>
      </x:c>
      <x:c r="B50" s="2" t="str">
        <x:v>Ø4 NPTH</x:v>
      </x:c>
      <x:c r="C50" s="2" t="str">
        <x:v>PCB安装孔，不是BOM实物；螺钉另列配套</x:v>
      </x:c>
      <x:c r="D50" s="2"/>
      <x:c r="E50" s="2"/>
      <x:c r="F50" s="2"/>
    </x:row>
    <x:row r="51" ht="30" customHeight="1">
      <x:c r="A51" s="2" t="str">
        <x:v>H4</x:v>
      </x:c>
      <x:c r="B51" s="2" t="str">
        <x:v>Ø4 NPTH</x:v>
      </x:c>
      <x:c r="C51" s="2" t="str">
        <x:v>PCB安装孔，不是BOM实物；螺钉另列配套</x:v>
      </x:c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</x:sheetData>
  <x:pageMargins left="0.7" right="0.7" top="0.75" bottom="0.75" header="0.3" footer="0.3"/>
  <x:tableParts count="1">
    <x:tablePart xmlns:r="http://schemas.openxmlformats.org/officeDocument/2006/relationships" r:id="R0306ce97fcab4134"/>
  </x:tableParts>
</x:worksheet>
</file>