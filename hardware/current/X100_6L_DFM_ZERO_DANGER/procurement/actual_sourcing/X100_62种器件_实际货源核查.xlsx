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fd42d71db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2项实际货源" sheetId="1" r:id="R0aee9308bd6e4bbb"/>
    <x:sheet xmlns:r="http://schemas.openxmlformats.org/officeDocument/2006/relationships" name="同封装候选未采用" sheetId="2" r:id="R9bd92fbd03e4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"/>
    <x:numFmt numFmtId="203" formatCode="0000"/>
  </x:numFmts>
  <x:fonts count="5">
    <x:font>
      <x:sz val="11"/>
      <x:name val="Carlito"/>
    </x:font>
    <x:font>
      <x:sz val="10"/>
      <x:color rgb="FF243244"/>
      <x:name val="Microsoft YaHei"/>
    </x:font>
    <x:font>
      <x:b/>
      <x:sz val="14"/>
      <x:color rgb="FF17365D"/>
      <x:name val="Microsoft YaHei"/>
    </x:font>
    <x:font>
      <x:b/>
      <x:sz val="10"/>
      <x:color rgb="FFFFFFFF"/>
      <x:name val="Microsoft YaHei"/>
    </x:font>
    <x:font>
      <x:b/>
      <x:sz val="11"/>
      <x:color rgb="FF17365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color rgb="FF603B7A"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1753f21e142c7" /><Relationship Type="http://schemas.openxmlformats.org/officeDocument/2006/relationships/theme" Target="/xl/theme/theme1.xml" Id="R9ba2d21f98db4475" /><Relationship Type="http://schemas.openxmlformats.org/officeDocument/2006/relationships/sharedStrings" Target="/xl/sharedStrings.xml" Id="R584bc7a62014420f" /><Relationship Type="http://schemas.openxmlformats.org/officeDocument/2006/relationships/worksheet" Target="/xl/worksheets/sheet1.xml" Id="R0aee9308bd6e4bbb" /><Relationship Type="http://schemas.openxmlformats.org/officeDocument/2006/relationships/worksheet" Target="/xl/worksheets/sheet2.xml" Id="R9bd92fbd03e44f29" /></Relationships>
</file>

<file path=xl/tables/table1.xml><?xml version="1.0" encoding="utf-8"?>
<x:table xmlns:x="http://schemas.openxmlformats.org/spreadsheetml/2006/main" id="1" name="Sources62" displayName="Sources62" ref="A9:M71" headerRowCount="1" totalsRowCount="0" totalsRowShown="0">
  <x:tableColumns count="13">
    <x:tableColumn id="1" name="序号"/>
    <x:tableColumn id="2" name="原完整MPN"/>
    <x:tableColumn id="3" name="位号"/>
    <x:tableColumn id="4" name="一板用量"/>
    <x:tableColumn id="5" name="封装"/>
    <x:tableColumn id="6" name="供货结论"/>
    <x:tableColumn id="7" name="渠道"/>
    <x:tableColumn id="8" name="商品直达URL"/>
    <x:tableColumn id="9" name="页面库存"/>
    <x:tableColumn id="10" name="起订量"/>
    <x:tableColumn id="11" name="发货或交期原文"/>
    <x:tableColumn id="12" name="淘宝核查情况"/>
    <x:tableColumn id="13" name="重要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ternatives7" displayName="Alternatives7" ref="A6:L13" headerRowCount="1" totalsRowCount="0" totalsRowShown="0">
  <x:tableColumns count="12">
    <x:tableColumn id="1" name="原MPN"/>
    <x:tableColumn id="2" name="位号"/>
    <x:tableColumn id="3" name="候选MPN"/>
    <x:tableColumn id="4" name="已核匹配项目"/>
    <x:tableColumn id="5" name="使用建议"/>
    <x:tableColumn id="6" name="候选商品页"/>
    <x:tableColumn id="7" name="页面库存"/>
    <x:tableColumn id="8" name="库存类型"/>
    <x:tableColumn id="9" name="MOQ"/>
    <x:tableColumn id="10" name="页面交期"/>
    <x:tableColumn id="11" name="差异及待核事项"/>
    <x:tableColumn id="12" name="已写入工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216ab71bae47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16893ac82c4baa" /></Relationships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6" hidden="0" customWidth="1"/>
    <x:col min="2" max="2" width="29" hidden="0" customWidth="1"/>
    <x:col min="3" max="3" width="48" hidden="0" customWidth="1"/>
    <x:col min="4" max="4" width="11" hidden="0" customWidth="1"/>
    <x:col min="5" max="5" width="36" hidden="0" customWidth="1"/>
    <x:col min="6" max="6" width="28" hidden="0" customWidth="1"/>
    <x:col min="7" max="7" width="26" hidden="0" customWidth="1"/>
    <x:col min="8" max="8" width="64" hidden="0" customWidth="1"/>
    <x:col min="9" max="9" width="13" hidden="0" customWidth="1"/>
    <x:col min="10" max="10" width="12" hidden="0" customWidth="1"/>
    <x:col min="11" max="11" width="30" hidden="0" customWidth="1"/>
    <x:col min="12" max="12" width="46" hidden="0" customWidth="1"/>
    <x:col min="13" max="13" width="7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X100：62种器件实际货源核查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 t="str">
        <x:v>种数</x:v>
      </x:c>
      <x:c r="B4" s="2" t="n">
        <x:f>COUNTA(B10:B71)</x:f>
        <x:v>62</x:v>
      </x:c>
      <x:c r="C4" s="2"/>
      <x:c r="D4" s="2" t="str">
        <x:v>单板件数</x:v>
      </x:c>
      <x:c r="E4" s="2" t="n">
        <x:f>SUM(D10:D71)</x:f>
        <x:v>142</x:v>
      </x:c>
      <x:c r="F4" s="2"/>
      <x:c r="G4" s="2" t="str">
        <x:v>国内足量</x:v>
      </x:c>
      <x:c r="H4" s="2" t="n">
        <x:f>COUNTIFS(F10:F71,"自营现货足一板")</x:f>
        <x:v>54</x:v>
      </x:c>
      <x:c r="I4" s="2"/>
      <x:c r="J4" s="2" t="str">
        <x:v>原型代购</x:v>
      </x:c>
      <x:c r="K4" s="2" t="n">
        <x:f>COUNTIFS(F10:F71,"原型号代购可下单")</x:f>
        <x:v>2</x:v>
      </x:c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 t="str">
        <x:v>核查日期：2026-10-31。库存与起订量来自实际商品页；“最快4小时”不是最迟发货/到货保证。代购交期按页面原文。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 t="str">
        <x:v>SPL06-001：用户确认淘宝有售，具体商品/MOQ/交期待核。淘宝访问受安全策略限制，不将未访问写成缺货；工程及原BOM未改。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 t="str">
        <x:v>本表保留完整商品URL，可复制打开；随附Markdown清单提供可直接点击的同一批商品链接。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2" customHeight="1">
      <x:c r="A9" s="7" t="str">
        <x:v>序号</x:v>
      </x:c>
      <x:c r="B9" s="7" t="str">
        <x:v>原完整MPN</x:v>
      </x:c>
      <x:c r="C9" s="7" t="str">
        <x:v>位号</x:v>
      </x:c>
      <x:c r="D9" s="7" t="str">
        <x:v>一板用量</x:v>
      </x:c>
      <x:c r="E9" s="7" t="str">
        <x:v>封装</x:v>
      </x:c>
      <x:c r="F9" s="7" t="str">
        <x:v>供货结论</x:v>
      </x:c>
      <x:c r="G9" s="7" t="str">
        <x:v>渠道</x:v>
      </x:c>
      <x:c r="H9" s="7" t="str">
        <x:v>商品直达URL</x:v>
      </x:c>
      <x:c r="I9" s="7" t="str">
        <x:v>页面库存</x:v>
      </x:c>
      <x:c r="J9" s="7" t="str">
        <x:v>起订量</x:v>
      </x:c>
      <x:c r="K9" s="7" t="str">
        <x:v>发货或交期原文</x:v>
      </x:c>
      <x:c r="L9" s="7" t="str">
        <x:v>淘宝核查情况</x:v>
      </x:c>
      <x:c r="M9" s="7" t="str">
        <x:v>重要说明</x:v>
      </x:c>
    </x:row>
    <x:row r="10" ht="50" customHeight="1">
      <x:c r="A10" s="8" t="n">
        <x:v>1</x:v>
      </x:c>
      <x:c r="B10" s="9" t="str">
        <x:v>C1210C106K5RACTU</x:v>
      </x:c>
      <x:c r="C10" s="8" t="str">
        <x:v>C101,C102,C103,C104,C111,C118,C208,C502</x:v>
      </x:c>
      <x:c r="D10" s="10" t="n">
        <x:v>8</x:v>
      </x:c>
      <x:c r="E10" s="12" t="str">
        <x:v>1210</x:v>
      </x:c>
      <x:c r="F10" s="8" t="str">
        <x:v>自营现货足一板</x:v>
      </x:c>
      <x:c r="G10" s="8" t="str">
        <x:v>立创国内自营</x:v>
      </x:c>
      <x:c r="H10" s="8" t="str">
        <x:v>https://item.szlcsc.com/2259740.html</x:v>
      </x:c>
      <x:c r="I10" s="11" t="n">
        <x:v>80</x:v>
      </x:c>
      <x:c r="J10" s="11" t="n">
        <x:v>1</x:v>
      </x:c>
      <x:c r="K10" s="8" t="str">
        <x:v>最快4小时发货</x:v>
      </x:c>
      <x:c r="L10" s="8" t="str">
        <x:v>浏览器安全策略拦截；未核实，不表示缺货</x:v>
      </x:c>
      <x:c r="M10" s="8" t="str"/>
    </x:row>
    <x:row r="11" ht="50" customHeight="1">
      <x:c r="A11" s="8" t="n">
        <x:v>2</x:v>
      </x:c>
      <x:c r="B11" s="9" t="str">
        <x:v>50SVPF39M</x:v>
      </x:c>
      <x:c r="C11" s="8" t="str">
        <x:v>C105</x:v>
      </x:c>
      <x:c r="D11" s="10" t="n">
        <x:v>1</x:v>
      </x:c>
      <x:c r="E11" s="8" t="str">
        <x:v>OS-CON E12 diameter8 height11.9</x:v>
      </x:c>
      <x:c r="F11" s="8" t="str">
        <x:v>自营现货足一板</x:v>
      </x:c>
      <x:c r="G11" s="8" t="str">
        <x:v>立创国内自营</x:v>
      </x:c>
      <x:c r="H11" s="8" t="str">
        <x:v>https://item.szlcsc.com/226507.html</x:v>
      </x:c>
      <x:c r="I11" s="11" t="n">
        <x:v>39</x:v>
      </x:c>
      <x:c r="J11" s="11" t="n">
        <x:v>1</x:v>
      </x:c>
      <x:c r="K11" s="8" t="str">
        <x:v>最快4小时发货</x:v>
      </x:c>
      <x:c r="L11" s="8" t="str">
        <x:v>浏览器安全策略拦截；未核实，不表示缺货</x:v>
      </x:c>
      <x:c r="M11" s="8" t="str"/>
    </x:row>
    <x:row r="12" ht="50" customHeight="1">
      <x:c r="A12" s="8" t="n">
        <x:v>3</x:v>
      </x:c>
      <x:c r="B12" s="9" t="str">
        <x:v>C0603C104K5RACTU</x:v>
      </x:c>
      <x:c r="C12" s="8" t="str">
        <x:v>C106,C107,C112,C117,C203,C204,C205,C206,C207,C210,C211,C301,C302,C303,C304,C402,C501,C601,C805</x:v>
      </x:c>
      <x:c r="D12" s="10" t="n">
        <x:v>19</x:v>
      </x:c>
      <x:c r="E12" s="12" t="str">
        <x:v>0603</x:v>
      </x:c>
      <x:c r="F12" s="8" t="str">
        <x:v>自营数量不足</x:v>
      </x:c>
      <x:c r="G12" s="8" t="str">
        <x:v>立创国内自营</x:v>
      </x:c>
      <x:c r="H12" s="8" t="str">
        <x:v>https://item.szlcsc.com/139116.html</x:v>
      </x:c>
      <x:c r="I12" s="11" t="n">
        <x:v>10</x:v>
      </x:c>
      <x:c r="J12" s="11" t="n">
        <x:v>10</x:v>
      </x:c>
      <x:c r="K12" s="8" t="str">
        <x:v>数量不足；补货交期未给出</x:v>
      </x:c>
      <x:c r="L12" s="8" t="str">
        <x:v>浏览器安全策略拦截；未核实，不表示缺货</x:v>
      </x:c>
      <x:c r="M12" s="8" t="str">
        <x:v>现货10，单板需19，不足9；不把SMT库存与零售库存混算</x:v>
      </x:c>
    </x:row>
    <x:row r="13" ht="50" customHeight="1">
      <x:c r="A13" s="8" t="n">
        <x:v>4</x:v>
      </x:c>
      <x:c r="B13" s="9" t="str">
        <x:v>16SVPF180M</x:v>
      </x:c>
      <x:c r="C13" s="8" t="str">
        <x:v>C108,C121</x:v>
      </x:c>
      <x:c r="D13" s="10" t="n">
        <x:v>2</x:v>
      </x:c>
      <x:c r="E13" s="8" t="str">
        <x:v>OS-CON C6 diameter6.3 height5.9</x:v>
      </x:c>
      <x:c r="F13" s="8" t="str">
        <x:v>自营现货足一板</x:v>
      </x:c>
      <x:c r="G13" s="8" t="str">
        <x:v>立创国内自营</x:v>
      </x:c>
      <x:c r="H13" s="8" t="str">
        <x:v>https://item.szlcsc.com/147592.html</x:v>
      </x:c>
      <x:c r="I13" s="11" t="n">
        <x:v>21</x:v>
      </x:c>
      <x:c r="J13" s="11" t="n">
        <x:v>1</x:v>
      </x:c>
      <x:c r="K13" s="8" t="str">
        <x:v>最快4小时发货</x:v>
      </x:c>
      <x:c r="L13" s="8" t="str">
        <x:v>浏览器安全策略拦截；未核实，不表示缺货</x:v>
      </x:c>
      <x:c r="M13" s="8" t="str">
        <x:v>源工程候选字段涉及：C121；本轮不改字段或型号</x:v>
      </x:c>
    </x:row>
    <x:row r="14" ht="50" customHeight="1">
      <x:c r="A14" s="8" t="n">
        <x:v>5</x:v>
      </x:c>
      <x:c r="B14" s="9" t="str">
        <x:v>C0805C223K5RACTU</x:v>
      </x:c>
      <x:c r="C14" s="8" t="str">
        <x:v>C109,C803,C804</x:v>
      </x:c>
      <x:c r="D14" s="10" t="n">
        <x:v>3</x:v>
      </x:c>
      <x:c r="E14" s="12" t="str">
        <x:v>0805</x:v>
      </x:c>
      <x:c r="F14" s="8" t="str">
        <x:v>自营现货足一板</x:v>
      </x:c>
      <x:c r="G14" s="8" t="str">
        <x:v>立创国内自营</x:v>
      </x:c>
      <x:c r="H14" s="8" t="str">
        <x:v>https://item.szlcsc.com/454915.html</x:v>
      </x:c>
      <x:c r="I14" s="11" t="n">
        <x:v>840</x:v>
      </x:c>
      <x:c r="J14" s="11" t="n">
        <x:v>20</x:v>
      </x:c>
      <x:c r="K14" s="8" t="str">
        <x:v>最快4小时发货</x:v>
      </x:c>
      <x:c r="L14" s="8" t="str">
        <x:v>浏览器安全策略拦截；未核实，不表示缺货</x:v>
      </x:c>
      <x:c r="M14" s="8" t="str"/>
    </x:row>
    <x:row r="15" ht="50" customHeight="1">
      <x:c r="A15" s="8" t="n">
        <x:v>6</x:v>
      </x:c>
      <x:c r="B15" s="9" t="str">
        <x:v>C0805C241J5GACTU</x:v>
      </x:c>
      <x:c r="C15" s="8" t="str">
        <x:v>C110</x:v>
      </x:c>
      <x:c r="D15" s="10" t="n">
        <x:v>1</x:v>
      </x:c>
      <x:c r="E15" s="12" t="str">
        <x:v>0805</x:v>
      </x:c>
      <x:c r="F15" s="8" t="str">
        <x:v>原型号代购可下单</x:v>
      </x:c>
      <x:c r="G15" s="8" t="str">
        <x:v>立创海外代购/DigiKey</x:v>
      </x:c>
      <x:c r="H15" s="8" t="str">
        <x:v>https://item.szlcsc.com/details/Digikey/399-C0805C241J5GACTUCT-ND.html</x:v>
      </x:c>
      <x:c r="I15" s="11" t="n">
        <x:v>3974</x:v>
      </x:c>
      <x:c r="J15" s="11" t="n">
        <x:v>1</x:v>
      </x:c>
      <x:c r="K15" s="8" t="str">
        <x:v>8-14个工作日</x:v>
      </x:c>
      <x:c r="L15" s="8" t="str">
        <x:v>浏览器安全策略拦截；未核实，不表示缺货</x:v>
      </x:c>
      <x:c r="M15" s="8" t="str"/>
    </x:row>
    <x:row r="16" ht="50" customHeight="1">
      <x:c r="A16" s="8" t="n">
        <x:v>7</x:v>
      </x:c>
      <x:c r="B16" s="9" t="str">
        <x:v>C1210C226K4RACTU</x:v>
      </x:c>
      <x:c r="C16" s="8" t="str">
        <x:v>C113,C114</x:v>
      </x:c>
      <x:c r="D16" s="10" t="n">
        <x:v>2</x:v>
      </x:c>
      <x:c r="E16" s="12" t="str">
        <x:v>1210</x:v>
      </x:c>
      <x:c r="F16" s="8" t="str">
        <x:v>自营现货足一板</x:v>
      </x:c>
      <x:c r="G16" s="8" t="str">
        <x:v>立创国内自营</x:v>
      </x:c>
      <x:c r="H16" s="8" t="str">
        <x:v>https://item.szlcsc.com/5999456.html</x:v>
      </x:c>
      <x:c r="I16" s="11" t="n">
        <x:v>13</x:v>
      </x:c>
      <x:c r="J16" s="11" t="n">
        <x:v>1</x:v>
      </x:c>
      <x:c r="K16" s="8" t="str">
        <x:v>最快4小时发货</x:v>
      </x:c>
      <x:c r="L16" s="8" t="str">
        <x:v>浏览器安全策略拦截；未核实，不表示缺货</x:v>
      </x:c>
      <x:c r="M16" s="8" t="str"/>
    </x:row>
    <x:row r="17" ht="50" customHeight="1">
      <x:c r="A17" s="8" t="n">
        <x:v>8</x:v>
      </x:c>
      <x:c r="B17" s="9" t="str">
        <x:v>C0805C225K4RACTU</x:v>
      </x:c>
      <x:c r="C17" s="8" t="str">
        <x:v>C115,C116,C201,C202,C209</x:v>
      </x:c>
      <x:c r="D17" s="10" t="n">
        <x:v>5</x:v>
      </x:c>
      <x:c r="E17" s="12" t="str">
        <x:v>0805</x:v>
      </x:c>
      <x:c r="F17" s="8" t="str">
        <x:v>自营现货足一板</x:v>
      </x:c>
      <x:c r="G17" s="8" t="str">
        <x:v>立创国内自营</x:v>
      </x:c>
      <x:c r="H17" s="8" t="str">
        <x:v>https://item.szlcsc.com/2259629.html</x:v>
      </x:c>
      <x:c r="I17" s="11" t="n">
        <x:v>3540</x:v>
      </x:c>
      <x:c r="J17" s="11" t="n">
        <x:v>10</x:v>
      </x:c>
      <x:c r="K17" s="8" t="str">
        <x:v>最快4小时发货</x:v>
      </x:c>
      <x:c r="L17" s="8" t="str">
        <x:v>浏览器安全策略拦截；未核实，不表示缺货</x:v>
      </x:c>
      <x:c r="M17" s="8" t="str"/>
    </x:row>
    <x:row r="18" ht="50" customHeight="1">
      <x:c r="A18" s="8" t="n">
        <x:v>9</x:v>
      </x:c>
      <x:c r="B18" s="9" t="str">
        <x:v>16SVPF82M</x:v>
      </x:c>
      <x:c r="C18" s="8" t="str">
        <x:v>C119</x:v>
      </x:c>
      <x:c r="D18" s="10" t="n">
        <x:v>1</x:v>
      </x:c>
      <x:c r="E18" s="8" t="str">
        <x:v>OS-CON B6 diameter5 height5.9</x:v>
      </x:c>
      <x:c r="F18" s="8" t="str">
        <x:v>自营现货足一板</x:v>
      </x:c>
      <x:c r="G18" s="8" t="str">
        <x:v>立创国内自营</x:v>
      </x:c>
      <x:c r="H18" s="8" t="str">
        <x:v>https://item.szlcsc.com/189743.html</x:v>
      </x:c>
      <x:c r="I18" s="11" t="n">
        <x:v>1490</x:v>
      </x:c>
      <x:c r="J18" s="11" t="n">
        <x:v>1</x:v>
      </x:c>
      <x:c r="K18" s="8" t="str">
        <x:v>最快4小时发货</x:v>
      </x:c>
      <x:c r="L18" s="8" t="str">
        <x:v>浏览器安全策略拦截；未核实，不表示缺货</x:v>
      </x:c>
      <x:c r="M18" s="8" t="str"/>
    </x:row>
    <x:row r="19" ht="50" customHeight="1">
      <x:c r="A19" s="8" t="n">
        <x:v>10</x:v>
      </x:c>
      <x:c r="B19" s="9" t="str">
        <x:v>C0805C105K4RACTU</x:v>
      </x:c>
      <x:c r="C19" s="8" t="str">
        <x:v>C120,C123,C124,C125,C126</x:v>
      </x:c>
      <x:c r="D19" s="10" t="n">
        <x:v>5</x:v>
      </x:c>
      <x:c r="E19" s="12" t="str">
        <x:v>0805</x:v>
      </x:c>
      <x:c r="F19" s="8" t="str">
        <x:v>自营现货足一板</x:v>
      </x:c>
      <x:c r="G19" s="8" t="str">
        <x:v>立创国内自营</x:v>
      </x:c>
      <x:c r="H19" s="8" t="str">
        <x:v>https://item.szlcsc.com/2259428.html</x:v>
      </x:c>
      <x:c r="I19" s="11" t="n">
        <x:v>2370</x:v>
      </x:c>
      <x:c r="J19" s="11" t="n">
        <x:v>10</x:v>
      </x:c>
      <x:c r="K19" s="8" t="str">
        <x:v>最快4小时发货</x:v>
      </x:c>
      <x:c r="L19" s="8" t="str">
        <x:v>浏览器安全策略拦截；未核实，不表示缺货</x:v>
      </x:c>
      <x:c r="M19" s="8" t="str"/>
    </x:row>
    <x:row r="20" ht="50" customHeight="1">
      <x:c r="A20" s="8" t="n">
        <x:v>11</x:v>
      </x:c>
      <x:c r="B20" s="9" t="str">
        <x:v>C0805C104K5RACTU</x:v>
      </x:c>
      <x:c r="C20" s="8" t="str">
        <x:v>C212,C401,C801,C802</x:v>
      </x:c>
      <x:c r="D20" s="10" t="n">
        <x:v>4</x:v>
      </x:c>
      <x:c r="E20" s="12" t="str">
        <x:v>0805</x:v>
      </x:c>
      <x:c r="F20" s="8" t="str">
        <x:v>自营现货足一板</x:v>
      </x:c>
      <x:c r="G20" s="8" t="str">
        <x:v>立创国内自营</x:v>
      </x:c>
      <x:c r="H20" s="8" t="str">
        <x:v>https://item.szlcsc.com/3531109.html</x:v>
      </x:c>
      <x:c r="I20" s="11" t="n">
        <x:v>200</x:v>
      </x:c>
      <x:c r="J20" s="11" t="n">
        <x:v>10</x:v>
      </x:c>
      <x:c r="K20" s="8" t="str">
        <x:v>最快4小时发货</x:v>
      </x:c>
      <x:c r="L20" s="8" t="str">
        <x:v>浏览器安全策略拦截；未核实，不表示缺货</x:v>
      </x:c>
      <x:c r="M20" s="8" t="str"/>
    </x:row>
    <x:row r="21" ht="50" customHeight="1">
      <x:c r="A21" s="8" t="n">
        <x:v>12</x:v>
      </x:c>
      <x:c r="B21" s="9" t="str">
        <x:v>CC0805JRNPO9BN330</x:v>
      </x:c>
      <x:c r="C21" s="8" t="str">
        <x:v>C213,C214</x:v>
      </x:c>
      <x:c r="D21" s="10" t="n">
        <x:v>2</x:v>
      </x:c>
      <x:c r="E21" s="12" t="str">
        <x:v>0805</x:v>
      </x:c>
      <x:c r="F21" s="8" t="str">
        <x:v>自营现货足一板</x:v>
      </x:c>
      <x:c r="G21" s="8" t="str">
        <x:v>立创国内自营</x:v>
      </x:c>
      <x:c r="H21" s="8" t="str">
        <x:v>https://item.szlcsc.com/108331.html</x:v>
      </x:c>
      <x:c r="I21" s="11" t="n">
        <x:v>951000</x:v>
      </x:c>
      <x:c r="J21" s="11" t="n">
        <x:v>100</x:v>
      </x:c>
      <x:c r="K21" s="8" t="str">
        <x:v>最快4小时发货</x:v>
      </x:c>
      <x:c r="L21" s="8" t="str">
        <x:v>浏览器安全策略拦截；未核实，不表示缺货</x:v>
      </x:c>
      <x:c r="M21" s="8" t="str"/>
    </x:row>
    <x:row r="22" ht="50" customHeight="1">
      <x:c r="A22" s="8" t="n">
        <x:v>13</x:v>
      </x:c>
      <x:c r="B22" s="9" t="str">
        <x:v>BZT52H-C12,115</x:v>
      </x:c>
      <x:c r="C22" s="8" t="str">
        <x:v>D101</x:v>
      </x:c>
      <x:c r="D22" s="10" t="n">
        <x:v>1</x:v>
      </x:c>
      <x:c r="E22" s="8" t="str">
        <x:v>SOD123F</x:v>
      </x:c>
      <x:c r="F22" s="8" t="str">
        <x:v>自营现货足一板</x:v>
      </x:c>
      <x:c r="G22" s="8" t="str">
        <x:v>立创国内自营</x:v>
      </x:c>
      <x:c r="H22" s="8" t="str">
        <x:v>https://item.szlcsc.com/268471.html</x:v>
      </x:c>
      <x:c r="I22" s="11" t="n">
        <x:v>50460</x:v>
      </x:c>
      <x:c r="J22" s="11" t="n">
        <x:v>20</x:v>
      </x:c>
      <x:c r="K22" s="8" t="str">
        <x:v>最快4小时发货</x:v>
      </x:c>
      <x:c r="L22" s="8" t="str">
        <x:v>浏览器安全策略拦截；未核实，不表示缺货</x:v>
      </x:c>
      <x:c r="M22" s="8" t="str"/>
    </x:row>
    <x:row r="23" ht="50" customHeight="1">
      <x:c r="A23" s="8" t="n">
        <x:v>14</x:v>
      </x:c>
      <x:c r="B23" s="9" t="str">
        <x:v>SMBJ26CA-TR</x:v>
      </x:c>
      <x:c r="C23" s="8" t="str">
        <x:v>D102</x:v>
      </x:c>
      <x:c r="D23" s="10" t="n">
        <x:v>1</x:v>
      </x:c>
      <x:c r="E23" s="8" t="str">
        <x:v>SMB DO214AA</x:v>
      </x:c>
      <x:c r="F23" s="8" t="str">
        <x:v>自营现货足一板</x:v>
      </x:c>
      <x:c r="G23" s="8" t="str">
        <x:v>立创国内自营</x:v>
      </x:c>
      <x:c r="H23" s="8" t="str">
        <x:v>https://item.szlcsc.com/144972.html</x:v>
      </x:c>
      <x:c r="I23" s="11" t="n">
        <x:v>580</x:v>
      </x:c>
      <x:c r="J23" s="11" t="n">
        <x:v>5</x:v>
      </x:c>
      <x:c r="K23" s="8" t="str">
        <x:v>最快4小时发货</x:v>
      </x:c>
      <x:c r="L23" s="8" t="str">
        <x:v>浏览器安全策略拦截；未核实，不表示缺货</x:v>
      </x:c>
      <x:c r="M23" s="8" t="str"/>
    </x:row>
    <x:row r="24" ht="50" customHeight="1">
      <x:c r="A24" s="8" t="n">
        <x:v>15</x:v>
      </x:c>
      <x:c r="B24" s="9" t="str">
        <x:v>STPS8H100G-TR</x:v>
      </x:c>
      <x:c r="C24" s="8" t="str">
        <x:v>D103</x:v>
      </x:c>
      <x:c r="D24" s="10" t="n">
        <x:v>1</x:v>
      </x:c>
      <x:c r="E24" s="8" t="str">
        <x:v>D2PAK A/K/tabK</x:v>
      </x:c>
      <x:c r="F24" s="8" t="str">
        <x:v>自营现货足一板</x:v>
      </x:c>
      <x:c r="G24" s="8" t="str">
        <x:v>立创国内自营</x:v>
      </x:c>
      <x:c r="H24" s="8" t="str">
        <x:v>https://item.szlcsc.com/221913.html</x:v>
      </x:c>
      <x:c r="I24" s="11" t="n">
        <x:v>7</x:v>
      </x:c>
      <x:c r="J24" s="11" t="n">
        <x:v>1</x:v>
      </x:c>
      <x:c r="K24" s="8" t="str">
        <x:v>最快4小时发货</x:v>
      </x:c>
      <x:c r="L24" s="8" t="str">
        <x:v>浏览器安全策略拦截；未核实，不表示缺货</x:v>
      </x:c>
      <x:c r="M24" s="8" t="str"/>
    </x:row>
    <x:row r="25" ht="50" customHeight="1">
      <x:c r="A25" s="8" t="n">
        <x:v>16</x:v>
      </x:c>
      <x:c r="B25" s="9" t="str">
        <x:v>LTST-C170GKT</x:v>
      </x:c>
      <x:c r="C25" s="8" t="str">
        <x:v>D201,D202</x:v>
      </x:c>
      <x:c r="D25" s="10" t="n">
        <x:v>2</x:v>
      </x:c>
      <x:c r="E25" s="8" t="str">
        <x:v>0805 LED</x:v>
      </x:c>
      <x:c r="F25" s="8" t="str">
        <x:v>自营现货足一板</x:v>
      </x:c>
      <x:c r="G25" s="8" t="str">
        <x:v>立创国内自营</x:v>
      </x:c>
      <x:c r="H25" s="8" t="str">
        <x:v>https://item.szlcsc.com/136366.html</x:v>
      </x:c>
      <x:c r="I25" s="11" t="n">
        <x:v>27220</x:v>
      </x:c>
      <x:c r="J25" s="11" t="n">
        <x:v>20</x:v>
      </x:c>
      <x:c r="K25" s="8" t="str">
        <x:v>最快4小时发货</x:v>
      </x:c>
      <x:c r="L25" s="8" t="str">
        <x:v>浏览器安全策略拦截；未核实，不表示缺货</x:v>
      </x:c>
      <x:c r="M25" s="8" t="str"/>
    </x:row>
    <x:row r="26" ht="50" customHeight="1">
      <x:c r="A26" s="8" t="n">
        <x:v>17</x:v>
      </x:c>
      <x:c r="B26" s="9" t="str">
        <x:v>0451003.MRL</x:v>
      </x:c>
      <x:c r="C26" s="8" t="str">
        <x:v>F101</x:v>
      </x:c>
      <x:c r="D26" s="10" t="n">
        <x:v>1</x:v>
      </x:c>
      <x:c r="E26" s="8" t="str">
        <x:v>NANO2 451 SMD</x:v>
      </x:c>
      <x:c r="F26" s="8" t="str">
        <x:v>自营现货足一板</x:v>
      </x:c>
      <x:c r="G26" s="8" t="str">
        <x:v>立创国内自营</x:v>
      </x:c>
      <x:c r="H26" s="8" t="str">
        <x:v>https://item.szlcsc.com/14638.html</x:v>
      </x:c>
      <x:c r="I26" s="11" t="n">
        <x:v>33080</x:v>
      </x:c>
      <x:c r="J26" s="11" t="n">
        <x:v>5</x:v>
      </x:c>
      <x:c r="K26" s="8" t="str">
        <x:v>最快4小时发货</x:v>
      </x:c>
      <x:c r="L26" s="8" t="str">
        <x:v>浏览器安全策略拦截；未核实，不表示缺货</x:v>
      </x:c>
      <x:c r="M26" s="8" t="str"/>
    </x:row>
    <x:row r="27" ht="50" customHeight="1">
      <x:c r="A27" s="8" t="n">
        <x:v>18</x:v>
      </x:c>
      <x:c r="B27" s="9" t="str">
        <x:v>124019772112A</x:v>
      </x:c>
      <x:c r="C27" s="8" t="str">
        <x:v>J401</x:v>
      </x:c>
      <x:c r="D27" s="10" t="n">
        <x:v>1</x:v>
      </x:c>
      <x:c r="E27" s="8" t="str">
        <x:v>USB-C dual-row SMT / 4 plated SH slots</x:v>
      </x:c>
      <x:c r="F27" s="8" t="str">
        <x:v>自营现货足一板</x:v>
      </x:c>
      <x:c r="G27" s="8" t="str">
        <x:v>立创国内自营</x:v>
      </x:c>
      <x:c r="H27" s="8" t="str">
        <x:v>https://item.szlcsc.com/6306263.html</x:v>
      </x:c>
      <x:c r="I27" s="11" t="n">
        <x:v>7024</x:v>
      </x:c>
      <x:c r="J27" s="11" t="n">
        <x:v>1</x:v>
      </x:c>
      <x:c r="K27" s="8" t="str">
        <x:v>最快4小时发货</x:v>
      </x:c>
      <x:c r="L27" s="8" t="str">
        <x:v>浏览器安全策略拦截；未核实，不表示缺货</x:v>
      </x:c>
      <x:c r="M27" s="8" t="str"/>
    </x:row>
    <x:row r="28" ht="50" customHeight="1">
      <x:c r="A28" s="8" t="n">
        <x:v>19</x:v>
      </x:c>
      <x:c r="B28" s="9" t="str">
        <x:v>1040310811</x:v>
      </x:c>
      <x:c r="C28" s="8" t="str">
        <x:v>J501</x:v>
      </x:c>
      <x:c r="D28" s="10" t="n">
        <x:v>1</x:v>
      </x:c>
      <x:c r="E28" s="8" t="str">
        <x:v>microSD SMT push-pull8+2detect</x:v>
      </x:c>
      <x:c r="F28" s="8" t="str">
        <x:v>自营现货足一板</x:v>
      </x:c>
      <x:c r="G28" s="8" t="str">
        <x:v>立创国内自营</x:v>
      </x:c>
      <x:c r="H28" s="8" t="str">
        <x:v>https://item.szlcsc.com/613200.html</x:v>
      </x:c>
      <x:c r="I28" s="11" t="n">
        <x:v>48704</x:v>
      </x:c>
      <x:c r="J28" s="11" t="n">
        <x:v>1</x:v>
      </x:c>
      <x:c r="K28" s="8" t="str">
        <x:v>最快4小时发货</x:v>
      </x:c>
      <x:c r="L28" s="8" t="str">
        <x:v>浏览器安全策略拦截；未核实，不表示缺货</x:v>
      </x:c>
      <x:c r="M28" s="8" t="str"/>
    </x:row>
    <x:row r="29" ht="50" customHeight="1">
      <x:c r="A29" s="8" t="n">
        <x:v>20</x:v>
      </x:c>
      <x:c r="B29" s="9" t="str">
        <x:v>SM04B-GHS-TB(LF)(SN)</x:v>
      </x:c>
      <x:c r="C29" s="8" t="str">
        <x:v>J601,J704</x:v>
      </x:c>
      <x:c r="D29" s="10" t="n">
        <x:v>2</x:v>
      </x:c>
      <x:c r="E29" s="8" t="str">
        <x:v>GH1.25 4P side-entry SMT</x:v>
      </x:c>
      <x:c r="F29" s="8" t="str">
        <x:v>自营现货足一板</x:v>
      </x:c>
      <x:c r="G29" s="8" t="str">
        <x:v>立创国内自营</x:v>
      </x:c>
      <x:c r="H29" s="8" t="str">
        <x:v>https://item.szlcsc.com/207060.html</x:v>
      </x:c>
      <x:c r="I29" s="11" t="n">
        <x:v>21700</x:v>
      </x:c>
      <x:c r="J29" s="11" t="n">
        <x:v>5</x:v>
      </x:c>
      <x:c r="K29" s="8" t="str">
        <x:v>最快4小时发货</x:v>
      </x:c>
      <x:c r="L29" s="8" t="str">
        <x:v>浏览器安全策略拦截；未核实，不表示缺货</x:v>
      </x:c>
      <x:c r="M29" s="8" t="str"/>
    </x:row>
    <x:row r="30" ht="50" customHeight="1">
      <x:c r="A30" s="8" t="n">
        <x:v>21</x:v>
      </x:c>
      <x:c r="B30" s="9" t="str">
        <x:v>SM06B-GHS-TB(LF)(SN)</x:v>
      </x:c>
      <x:c r="C30" s="8" t="str">
        <x:v>J701,J702,J703,J809</x:v>
      </x:c>
      <x:c r="D30" s="10" t="n">
        <x:v>4</x:v>
      </x:c>
      <x:c r="E30" s="8" t="str">
        <x:v>GH1.25 6P side-entry SMT</x:v>
      </x:c>
      <x:c r="F30" s="8" t="str">
        <x:v>自营现货足一板</x:v>
      </x:c>
      <x:c r="G30" s="8" t="str">
        <x:v>立创国内自营</x:v>
      </x:c>
      <x:c r="H30" s="8" t="str">
        <x:v>https://item.szlcsc.com/144367.html</x:v>
      </x:c>
      <x:c r="I30" s="11" t="n">
        <x:v>21835</x:v>
      </x:c>
      <x:c r="J30" s="11" t="n">
        <x:v>5</x:v>
      </x:c>
      <x:c r="K30" s="8" t="str">
        <x:v>最快4小时发货</x:v>
      </x:c>
      <x:c r="L30" s="8" t="str">
        <x:v>浏览器安全策略拦截；未核实，不表示缺货</x:v>
      </x:c>
      <x:c r="M30" s="8" t="str"/>
    </x:row>
    <x:row r="31" ht="50" customHeight="1">
      <x:c r="A31" s="8" t="n">
        <x:v>22</x:v>
      </x:c>
      <x:c r="B31" s="9" t="str">
        <x:v>TSW-102-07-G-S</x:v>
      </x:c>
      <x:c r="C31" s="8" t="str">
        <x:v>J801,J802,J803,J804,J805,J806</x:v>
      </x:c>
      <x:c r="D31" s="10" t="n">
        <x:v>6</x:v>
      </x:c>
      <x:c r="E31" s="8" t="str">
        <x:v>1x2 2.54 THT top insertion</x:v>
      </x:c>
      <x:c r="F31" s="8" t="str">
        <x:v>自营现货足一板</x:v>
      </x:c>
      <x:c r="G31" s="8" t="str">
        <x:v>立创国内自营</x:v>
      </x:c>
      <x:c r="H31" s="8" t="str">
        <x:v>https://item.szlcsc.com/8374910.html</x:v>
      </x:c>
      <x:c r="I31" s="11" t="n">
        <x:v>1420</x:v>
      </x:c>
      <x:c r="J31" s="11" t="n">
        <x:v>5</x:v>
      </x:c>
      <x:c r="K31" s="8" t="str">
        <x:v>最快4小时发货</x:v>
      </x:c>
      <x:c r="L31" s="8" t="str">
        <x:v>浏览器安全策略拦截；未核实，不表示缺货</x:v>
      </x:c>
      <x:c r="M31" s="8" t="str"/>
    </x:row>
    <x:row r="32" ht="50" customHeight="1">
      <x:c r="A32" s="8" t="n">
        <x:v>23</x:v>
      </x:c>
      <x:c r="B32" s="9" t="str">
        <x:v>TSW-105-07-G-S</x:v>
      </x:c>
      <x:c r="C32" s="8" t="str">
        <x:v>J807</x:v>
      </x:c>
      <x:c r="D32" s="10" t="n">
        <x:v>1</x:v>
      </x:c>
      <x:c r="E32" s="8" t="str">
        <x:v>1x5 2.54 THT top insertion</x:v>
      </x:c>
      <x:c r="F32" s="8" t="str">
        <x:v>自营现货足一板</x:v>
      </x:c>
      <x:c r="G32" s="8" t="str">
        <x:v>立创国内自营</x:v>
      </x:c>
      <x:c r="H32" s="8" t="str">
        <x:v>https://item.szlcsc.com/6932074.html</x:v>
      </x:c>
      <x:c r="I32" s="11" t="n">
        <x:v>20</x:v>
      </x:c>
      <x:c r="J32" s="11" t="n">
        <x:v>1</x:v>
      </x:c>
      <x:c r="K32" s="8" t="str">
        <x:v>最快4小时发货</x:v>
      </x:c>
      <x:c r="L32" s="8" t="str">
        <x:v>浏览器安全策略拦截；未核实，不表示缺货</x:v>
      </x:c>
      <x:c r="M32" s="8" t="str"/>
    </x:row>
    <x:row r="33" ht="50" customHeight="1">
      <x:c r="A33" s="8" t="n">
        <x:v>24</x:v>
      </x:c>
      <x:c r="B33" s="9" t="str">
        <x:v>SRP1038A-100M</x:v>
      </x:c>
      <x:c r="C33" s="8" t="str">
        <x:v>L101</x:v>
      </x:c>
      <x:c r="D33" s="10" t="n">
        <x:v>1</x:v>
      </x:c>
      <x:c r="E33" s="8" t="str">
        <x:v>Lead-frame SMD; case max11.5x10.3x4.0mm</x:v>
      </x:c>
      <x:c r="F33" s="8" t="str">
        <x:v>自营现货足一板</x:v>
      </x:c>
      <x:c r="G33" s="8" t="str">
        <x:v>立创国内自营</x:v>
      </x:c>
      <x:c r="H33" s="8" t="str">
        <x:v>https://item.szlcsc.com/832151.html</x:v>
      </x:c>
      <x:c r="I33" s="11" t="n">
        <x:v>700</x:v>
      </x:c>
      <x:c r="J33" s="11" t="n">
        <x:v>1</x:v>
      </x:c>
      <x:c r="K33" s="8" t="str">
        <x:v>3个工作日</x:v>
      </x:c>
      <x:c r="L33" s="8" t="str">
        <x:v>浏览器安全策略拦截；未核实，不表示缺货</x:v>
      </x:c>
      <x:c r="M33" s="8" t="str"/>
    </x:row>
    <x:row r="34" ht="50" customHeight="1">
      <x:c r="A34" s="8" t="n">
        <x:v>25</x:v>
      </x:c>
      <x:c r="B34" s="9" t="str">
        <x:v>SRN6045-4R7Y</x:v>
      </x:c>
      <x:c r="C34" s="8" t="str">
        <x:v>L102</x:v>
      </x:c>
      <x:c r="D34" s="10" t="n">
        <x:v>1</x:v>
      </x:c>
      <x:c r="E34" s="8" t="str">
        <x:v>6x6x4.5 SMD visible end terminals</x:v>
      </x:c>
      <x:c r="F34" s="8" t="str">
        <x:v>自营现货足一板</x:v>
      </x:c>
      <x:c r="G34" s="8" t="str">
        <x:v>立创国内自营</x:v>
      </x:c>
      <x:c r="H34" s="8" t="str">
        <x:v>https://item.szlcsc.com/832177.html</x:v>
      </x:c>
      <x:c r="I34" s="11" t="n">
        <x:v>1180</x:v>
      </x:c>
      <x:c r="J34" s="11" t="n">
        <x:v>1</x:v>
      </x:c>
      <x:c r="K34" s="8" t="str">
        <x:v>最快4小时发货</x:v>
      </x:c>
      <x:c r="L34" s="8" t="str">
        <x:v>浏览器安全策略拦截；未核实，不表示缺货</x:v>
      </x:c>
      <x:c r="M34" s="8" t="str"/>
    </x:row>
    <x:row r="35" ht="50" customHeight="1">
      <x:c r="A35" s="8" t="n">
        <x:v>26</x:v>
      </x:c>
      <x:c r="B35" s="9" t="str">
        <x:v>DMP6023LSS-13</x:v>
      </x:c>
      <x:c r="C35" s="8" t="str">
        <x:v>Q101</x:v>
      </x:c>
      <x:c r="D35" s="10" t="n">
        <x:v>1</x:v>
      </x:c>
      <x:c r="E35" s="8" t="str">
        <x:v>SO8</x:v>
      </x:c>
      <x:c r="F35" s="8" t="str">
        <x:v>自营现货足一板</x:v>
      </x:c>
      <x:c r="G35" s="8" t="str">
        <x:v>立创国内自营</x:v>
      </x:c>
      <x:c r="H35" s="8" t="str">
        <x:v>https://item.szlcsc.com/166253.html</x:v>
      </x:c>
      <x:c r="I35" s="11" t="n">
        <x:v>1301</x:v>
      </x:c>
      <x:c r="J35" s="11" t="n">
        <x:v>1</x:v>
      </x:c>
      <x:c r="K35" s="8" t="str">
        <x:v>最快4小时发货</x:v>
      </x:c>
      <x:c r="L35" s="8" t="str">
        <x:v>浏览器安全策略拦截；未核实，不表示缺货</x:v>
      </x:c>
      <x:c r="M35" s="8" t="str"/>
    </x:row>
    <x:row r="36" ht="50" customHeight="1">
      <x:c r="A36" s="8" t="n">
        <x:v>27</x:v>
      </x:c>
      <x:c r="B36" s="9" t="str">
        <x:v>RC0805FR-0720KL</x:v>
      </x:c>
      <x:c r="C36" s="8" t="str">
        <x:v>R101,R806</x:v>
      </x:c>
      <x:c r="D36" s="10" t="n">
        <x:v>2</x:v>
      </x:c>
      <x:c r="E36" s="12" t="str">
        <x:v>0805</x:v>
      </x:c>
      <x:c r="F36" s="8" t="str">
        <x:v>自营现货足一板</x:v>
      </x:c>
      <x:c r="G36" s="8" t="str">
        <x:v>立创国内自营</x:v>
      </x:c>
      <x:c r="H36" s="8" t="str">
        <x:v>https://item.szlcsc.com/115810.html</x:v>
      </x:c>
      <x:c r="I36" s="11" t="n">
        <x:v>2165700</x:v>
      </x:c>
      <x:c r="J36" s="11" t="n">
        <x:v>100</x:v>
      </x:c>
      <x:c r="K36" s="8" t="str">
        <x:v>最快4小时发货</x:v>
      </x:c>
      <x:c r="L36" s="8" t="str">
        <x:v>浏览器安全策略拦截；未核实，不表示缺货</x:v>
      </x:c>
      <x:c r="M36" s="8" t="str"/>
    </x:row>
    <x:row r="37" ht="50" customHeight="1">
      <x:c r="A37" s="8" t="n">
        <x:v>28</x:v>
      </x:c>
      <x:c r="B37" s="9" t="str">
        <x:v>RC0805FR-07294KL</x:v>
      </x:c>
      <x:c r="C37" s="8" t="str">
        <x:v>R102</x:v>
      </x:c>
      <x:c r="D37" s="10" t="n">
        <x:v>1</x:v>
      </x:c>
      <x:c r="E37" s="12" t="str">
        <x:v>0805</x:v>
      </x:c>
      <x:c r="F37" s="8" t="str">
        <x:v>自营现货足一板</x:v>
      </x:c>
      <x:c r="G37" s="8" t="str">
        <x:v>立创国内自营</x:v>
      </x:c>
      <x:c r="H37" s="8" t="str">
        <x:v>https://item.szlcsc.com/490948.html</x:v>
      </x:c>
      <x:c r="I37" s="11" t="n">
        <x:v>2600</x:v>
      </x:c>
      <x:c r="J37" s="11" t="n">
        <x:v>100</x:v>
      </x:c>
      <x:c r="K37" s="8" t="str">
        <x:v>最快4小时发货</x:v>
      </x:c>
      <x:c r="L37" s="8" t="str">
        <x:v>浏览器安全策略拦截；未核实，不表示缺货</x:v>
      </x:c>
      <x:c r="M37" s="8" t="str"/>
    </x:row>
    <x:row r="38" ht="50" customHeight="1">
      <x:c r="A38" s="8" t="n">
        <x:v>29</x:v>
      </x:c>
      <x:c r="B38" s="9" t="str">
        <x:v>RC0805FR-0754K9L</x:v>
      </x:c>
      <x:c r="C38" s="8" t="str">
        <x:v>R103</x:v>
      </x:c>
      <x:c r="D38" s="10" t="n">
        <x:v>1</x:v>
      </x:c>
      <x:c r="E38" s="12" t="str">
        <x:v>0805</x:v>
      </x:c>
      <x:c r="F38" s="8" t="str">
        <x:v>自营现货足一板</x:v>
      </x:c>
      <x:c r="G38" s="8" t="str">
        <x:v>立创国内自营</x:v>
      </x:c>
      <x:c r="H38" s="8" t="str">
        <x:v>https://item.szlcsc.com/148826.html</x:v>
      </x:c>
      <x:c r="I38" s="11" t="n">
        <x:v>4100</x:v>
      </x:c>
      <x:c r="J38" s="11" t="n">
        <x:v>100</x:v>
      </x:c>
      <x:c r="K38" s="8" t="str">
        <x:v>最快4小时发货</x:v>
      </x:c>
      <x:c r="L38" s="8" t="str">
        <x:v>浏览器安全策略拦截；未核实，不表示缺货</x:v>
      </x:c>
      <x:c r="M38" s="8" t="str"/>
    </x:row>
    <x:row r="39" ht="50" customHeight="1">
      <x:c r="A39" s="8" t="n">
        <x:v>30</x:v>
      </x:c>
      <x:c r="B39" s="9" t="str">
        <x:v>RC0805FR-07200KL</x:v>
      </x:c>
      <x:c r="C39" s="8" t="str">
        <x:v>R104</x:v>
      </x:c>
      <x:c r="D39" s="10" t="n">
        <x:v>1</x:v>
      </x:c>
      <x:c r="E39" s="12" t="str">
        <x:v>0805</x:v>
      </x:c>
      <x:c r="F39" s="8" t="str">
        <x:v>自营现货足一板</x:v>
      </x:c>
      <x:c r="G39" s="8" t="str">
        <x:v>立创国内自营</x:v>
      </x:c>
      <x:c r="H39" s="8" t="str">
        <x:v>https://item.szlcsc.com/115806.html</x:v>
      </x:c>
      <x:c r="I39" s="11" t="n">
        <x:v>718300</x:v>
      </x:c>
      <x:c r="J39" s="11" t="n">
        <x:v>100</x:v>
      </x:c>
      <x:c r="K39" s="8" t="str">
        <x:v>最快4小时发货</x:v>
      </x:c>
      <x:c r="L39" s="8" t="str">
        <x:v>浏览器安全策略拦截；未核实，不表示缺货</x:v>
      </x:c>
      <x:c r="M39" s="8" t="str"/>
    </x:row>
    <x:row r="40" ht="50" customHeight="1">
      <x:c r="A40" s="8" t="n">
        <x:v>31</x:v>
      </x:c>
      <x:c r="B40" s="9" t="str">
        <x:v>RT0805BRD0753K6L</x:v>
      </x:c>
      <x:c r="C40" s="8" t="str">
        <x:v>R105</x:v>
      </x:c>
      <x:c r="D40" s="10" t="n">
        <x:v>1</x:v>
      </x:c>
      <x:c r="E40" s="12" t="str">
        <x:v>0805</x:v>
      </x:c>
      <x:c r="F40" s="8" t="str">
        <x:v>自营无现货</x:v>
      </x:c>
      <x:c r="G40" s="8" t="str">
        <x:v>立创国内自营</x:v>
      </x:c>
      <x:c r="H40" s="8" t="str">
        <x:v>https://item.szlcsc.com/925632.html</x:v>
      </x:c>
      <x:c r="I40" s="11" t="n">
        <x:v>0</x:v>
      </x:c>
      <x:c r="J40" s="11" t="n">
        <x:v>20</x:v>
      </x:c>
      <x:c r="K40" s="8" t="str">
        <x:v>无现货；订货交期未给出</x:v>
      </x:c>
      <x:c r="L40" s="8" t="str">
        <x:v>浏览器安全策略拦截；未核实，不表示缺货</x:v>
      </x:c>
      <x:c r="M40" s="8" t="str">
        <x:v>页面显示0现货；即使旁边有最快4小时宣传，也不记为可发货；源工程候选字段涉及：R105；本轮不改字段或型号</x:v>
      </x:c>
    </x:row>
    <x:row r="41" ht="50" customHeight="1">
      <x:c r="A41" s="8" t="n">
        <x:v>32</x:v>
      </x:c>
      <x:c r="B41" s="9" t="str">
        <x:v>RT0805BRD0710KL</x:v>
      </x:c>
      <x:c r="C41" s="8" t="str">
        <x:v>R106,R112,R802</x:v>
      </x:c>
      <x:c r="D41" s="10" t="n">
        <x:v>3</x:v>
      </x:c>
      <x:c r="E41" s="12" t="str">
        <x:v>0805</x:v>
      </x:c>
      <x:c r="F41" s="8" t="str">
        <x:v>自营现货足一板</x:v>
      </x:c>
      <x:c r="G41" s="8" t="str">
        <x:v>立创国内自营</x:v>
      </x:c>
      <x:c r="H41" s="8" t="str">
        <x:v>https://item.szlcsc.com/112000.html</x:v>
      </x:c>
      <x:c r="I41" s="11" t="n">
        <x:v>550920</x:v>
      </x:c>
      <x:c r="J41" s="11" t="n">
        <x:v>20</x:v>
      </x:c>
      <x:c r="K41" s="8" t="str">
        <x:v>最快4小时发货</x:v>
      </x:c>
      <x:c r="L41" s="8" t="str">
        <x:v>浏览器安全策略拦截；未核实，不表示缺货</x:v>
      </x:c>
      <x:c r="M41" s="8" t="str"/>
    </x:row>
    <x:row r="42" ht="50" customHeight="1">
      <x:c r="A42" s="8" t="n">
        <x:v>33</x:v>
      </x:c>
      <x:c r="B42" s="9" t="str">
        <x:v>RC0805FR-0718K7L</x:v>
      </x:c>
      <x:c r="C42" s="8" t="str">
        <x:v>R107</x:v>
      </x:c>
      <x:c r="D42" s="10" t="n">
        <x:v>1</x:v>
      </x:c>
      <x:c r="E42" s="12" t="str">
        <x:v>0805</x:v>
      </x:c>
      <x:c r="F42" s="8" t="str">
        <x:v>自营无现货</x:v>
      </x:c>
      <x:c r="G42" s="8" t="str">
        <x:v>立创国内自营</x:v>
      </x:c>
      <x:c r="H42" s="8" t="str">
        <x:v>https://item.szlcsc.com/262295.html</x:v>
      </x:c>
      <x:c r="I42" s="11" t="n">
        <x:v>0</x:v>
      </x:c>
      <x:c r="J42" s="11" t="n">
        <x:v>100</x:v>
      </x:c>
      <x:c r="K42" s="8" t="str">
        <x:v>无现货；订货交期未给出</x:v>
      </x:c>
      <x:c r="L42" s="8" t="str">
        <x:v>浏览器安全策略拦截；未核实，不表示缺货</x:v>
      </x:c>
      <x:c r="M42" s="8" t="str">
        <x:v>页面显示0现货；即使旁边有最快4小时宣传，也不记为可发货</x:v>
      </x:c>
    </x:row>
    <x:row r="43" ht="50" customHeight="1">
      <x:c r="A43" s="8" t="n">
        <x:v>34</x:v>
      </x:c>
      <x:c r="B43" s="9" t="str">
        <x:v>RC0805FR-0710RL</x:v>
      </x:c>
      <x:c r="C43" s="8" t="str">
        <x:v>R108,R201</x:v>
      </x:c>
      <x:c r="D43" s="10" t="n">
        <x:v>2</x:v>
      </x:c>
      <x:c r="E43" s="12" t="str">
        <x:v>0805</x:v>
      </x:c>
      <x:c r="F43" s="8" t="str">
        <x:v>自营现货足一板</x:v>
      </x:c>
      <x:c r="G43" s="8" t="str">
        <x:v>立创国内自营</x:v>
      </x:c>
      <x:c r="H43" s="8" t="str">
        <x:v>https://item.szlcsc.com/97551.html</x:v>
      </x:c>
      <x:c r="I43" s="11" t="n">
        <x:v>1296800</x:v>
      </x:c>
      <x:c r="J43" s="11" t="n">
        <x:v>50</x:v>
      </x:c>
      <x:c r="K43" s="8" t="str">
        <x:v>最快4小时发货</x:v>
      </x:c>
      <x:c r="L43" s="8" t="str">
        <x:v>浏览器安全策略拦截；未核实，不表示缺货</x:v>
      </x:c>
      <x:c r="M43" s="8" t="str"/>
    </x:row>
    <x:row r="44" ht="50" customHeight="1">
      <x:c r="A44" s="8" t="n">
        <x:v>35</x:v>
      </x:c>
      <x:c r="B44" s="9" t="str">
        <x:v>RC0805FR-0722K1L</x:v>
      </x:c>
      <x:c r="C44" s="8" t="str">
        <x:v>R109,R805</x:v>
      </x:c>
      <x:c r="D44" s="10" t="n">
        <x:v>2</x:v>
      </x:c>
      <x:c r="E44" s="12" t="str">
        <x:v>0805</x:v>
      </x:c>
      <x:c r="F44" s="8" t="str">
        <x:v>自营现货足一板</x:v>
      </x:c>
      <x:c r="G44" s="8" t="str">
        <x:v>立创国内自营</x:v>
      </x:c>
      <x:c r="H44" s="8" t="str">
        <x:v>https://item.szlcsc.com/262255.html</x:v>
      </x:c>
      <x:c r="I44" s="11" t="n">
        <x:v>6300</x:v>
      </x:c>
      <x:c r="J44" s="11" t="n">
        <x:v>100</x:v>
      </x:c>
      <x:c r="K44" s="8" t="str">
        <x:v>最快4小时发货</x:v>
      </x:c>
      <x:c r="L44" s="8" t="str">
        <x:v>浏览器安全策略拦截；未核实，不表示缺货</x:v>
      </x:c>
      <x:c r="M44" s="8" t="str"/>
    </x:row>
    <x:row r="45" ht="50" customHeight="1">
      <x:c r="A45" s="8" t="n">
        <x:v>36</x:v>
      </x:c>
      <x:c r="B45" s="9" t="str">
        <x:v>RC0805FR-0710KL</x:v>
      </x:c>
      <x:c r="C45" s="8" t="str">
        <x:v>R110,R114,R203,R204,R301,R302,R403,R603,R604,R811</x:v>
      </x:c>
      <x:c r="D45" s="10" t="n">
        <x:v>10</x:v>
      </x:c>
      <x:c r="E45" s="12" t="str">
        <x:v>0805</x:v>
      </x:c>
      <x:c r="F45" s="8" t="str">
        <x:v>自营现货足一板</x:v>
      </x:c>
      <x:c r="G45" s="8" t="str">
        <x:v>立创国内自营</x:v>
      </x:c>
      <x:c r="H45" s="8" t="str">
        <x:v>https://item.szlcsc.com/85546.html</x:v>
      </x:c>
      <x:c r="I45" s="11" t="n">
        <x:v>1383000</x:v>
      </x:c>
      <x:c r="J45" s="11" t="n">
        <x:v>100</x:v>
      </x:c>
      <x:c r="K45" s="8" t="str">
        <x:v>最快4小时发货</x:v>
      </x:c>
      <x:c r="L45" s="8" t="str">
        <x:v>浏览器安全策略拦截；未核实，不表示缺货</x:v>
      </x:c>
      <x:c r="M45" s="8" t="str"/>
    </x:row>
    <x:row r="46" ht="50" customHeight="1">
      <x:c r="A46" s="8" t="n">
        <x:v>37</x:v>
      </x:c>
      <x:c r="B46" s="9" t="str">
        <x:v>RT0805BRD0733K2L</x:v>
      </x:c>
      <x:c r="C46" s="8" t="str">
        <x:v>R111</x:v>
      </x:c>
      <x:c r="D46" s="10" t="n">
        <x:v>1</x:v>
      </x:c>
      <x:c r="E46" s="12" t="str">
        <x:v>0805</x:v>
      </x:c>
      <x:c r="F46" s="8" t="str">
        <x:v>自营现货足一板</x:v>
      </x:c>
      <x:c r="G46" s="8" t="str">
        <x:v>立创国内自营</x:v>
      </x:c>
      <x:c r="H46" s="8" t="str">
        <x:v>https://item.szlcsc.com/925492.html</x:v>
      </x:c>
      <x:c r="I46" s="11" t="n">
        <x:v>910</x:v>
      </x:c>
      <x:c r="J46" s="11" t="n">
        <x:v>10</x:v>
      </x:c>
      <x:c r="K46" s="8" t="str">
        <x:v>最快4小时发货</x:v>
      </x:c>
      <x:c r="L46" s="8" t="str">
        <x:v>浏览器安全策略拦截；未核实，不表示缺货</x:v>
      </x:c>
      <x:c r="M46" s="8" t="str"/>
    </x:row>
    <x:row r="47" ht="50" customHeight="1">
      <x:c r="A47" s="8" t="n">
        <x:v>38</x:v>
      </x:c>
      <x:c r="B47" s="9" t="str">
        <x:v>RT0805BRD0749K9L</x:v>
      </x:c>
      <x:c r="C47" s="8" t="str">
        <x:v>R113</x:v>
      </x:c>
      <x:c r="D47" s="10" t="n">
        <x:v>1</x:v>
      </x:c>
      <x:c r="E47" s="12" t="str">
        <x:v>0805</x:v>
      </x:c>
      <x:c r="F47" s="8" t="str">
        <x:v>自营现货足一板</x:v>
      </x:c>
      <x:c r="G47" s="8" t="str">
        <x:v>立创国内自营</x:v>
      </x:c>
      <x:c r="H47" s="8" t="str">
        <x:v>https://item.szlcsc.com/476225.html</x:v>
      </x:c>
      <x:c r="I47" s="11" t="n">
        <x:v>14740</x:v>
      </x:c>
      <x:c r="J47" s="11" t="n">
        <x:v>20</x:v>
      </x:c>
      <x:c r="K47" s="8" t="str">
        <x:v>最快4小时发货</x:v>
      </x:c>
      <x:c r="L47" s="8" t="str">
        <x:v>浏览器安全策略拦截；未核实，不表示缺货</x:v>
      </x:c>
      <x:c r="M47" s="8" t="str"/>
    </x:row>
    <x:row r="48" ht="50" customHeight="1">
      <x:c r="A48" s="8" t="n">
        <x:v>39</x:v>
      </x:c>
      <x:c r="B48" s="9" t="str">
        <x:v>RC0805FR-07120RL</x:v>
      </x:c>
      <x:c r="C48" s="8" t="str">
        <x:v>R205,R602</x:v>
      </x:c>
      <x:c r="D48" s="10" t="n">
        <x:v>2</x:v>
      </x:c>
      <x:c r="E48" s="12" t="str">
        <x:v>0805</x:v>
      </x:c>
      <x:c r="F48" s="8" t="str">
        <x:v>自营现货足一板</x:v>
      </x:c>
      <x:c r="G48" s="8" t="str">
        <x:v>立创国内自营</x:v>
      </x:c>
      <x:c r="H48" s="8" t="str">
        <x:v>https://item.szlcsc.com/115485.html</x:v>
      </x:c>
      <x:c r="I48" s="11" t="n">
        <x:v>138000</x:v>
      </x:c>
      <x:c r="J48" s="11" t="n">
        <x:v>100</x:v>
      </x:c>
      <x:c r="K48" s="8" t="str">
        <x:v>最快4小时发货</x:v>
      </x:c>
      <x:c r="L48" s="8" t="str">
        <x:v>浏览器安全策略拦截；未核实，不表示缺货</x:v>
      </x:c>
      <x:c r="M48" s="8" t="str"/>
    </x:row>
    <x:row r="49" ht="50" customHeight="1">
      <x:c r="A49" s="8" t="n">
        <x:v>40</x:v>
      </x:c>
      <x:c r="B49" s="9" t="str">
        <x:v>RC0805FR-071KL</x:v>
      </x:c>
      <x:c r="C49" s="8" t="str">
        <x:v>R206,R803,R804,R807,R808</x:v>
      </x:c>
      <x:c r="D49" s="10" t="n">
        <x:v>5</x:v>
      </x:c>
      <x:c r="E49" s="12" t="str">
        <x:v>0805</x:v>
      </x:c>
      <x:c r="F49" s="8" t="str">
        <x:v>自营现货足一板</x:v>
      </x:c>
      <x:c r="G49" s="8" t="str">
        <x:v>立创国内自营</x:v>
      </x:c>
      <x:c r="H49" s="8" t="str">
        <x:v>https://item.szlcsc.com/96985.html</x:v>
      </x:c>
      <x:c r="I49" s="11" t="n">
        <x:v>3130100</x:v>
      </x:c>
      <x:c r="J49" s="11" t="n">
        <x:v>100</x:v>
      </x:c>
      <x:c r="K49" s="8" t="str">
        <x:v>最快4小时发货</x:v>
      </x:c>
      <x:c r="L49" s="8" t="str">
        <x:v>浏览器安全策略拦截；未核实，不表示缺货</x:v>
      </x:c>
      <x:c r="M49" s="8" t="str"/>
    </x:row>
    <x:row r="50" ht="50" customHeight="1">
      <x:c r="A50" s="8" t="n">
        <x:v>41</x:v>
      </x:c>
      <x:c r="B50" s="9" t="str">
        <x:v>RC0805FR-071K2L</x:v>
      </x:c>
      <x:c r="C50" s="8" t="str">
        <x:v>R207</x:v>
      </x:c>
      <x:c r="D50" s="10" t="n">
        <x:v>1</x:v>
      </x:c>
      <x:c r="E50" s="12" t="str">
        <x:v>0805</x:v>
      </x:c>
      <x:c r="F50" s="8" t="str">
        <x:v>自营现货足一板</x:v>
      </x:c>
      <x:c r="G50" s="8" t="str">
        <x:v>立创国内自营</x:v>
      </x:c>
      <x:c r="H50" s="8" t="str">
        <x:v>https://item.szlcsc.com/115770.html</x:v>
      </x:c>
      <x:c r="I50" s="11" t="n">
        <x:v>439000</x:v>
      </x:c>
      <x:c r="J50" s="11" t="n">
        <x:v>100</x:v>
      </x:c>
      <x:c r="K50" s="8" t="str">
        <x:v>最快4小时发货</x:v>
      </x:c>
      <x:c r="L50" s="8" t="str">
        <x:v>浏览器安全策略拦截；未核实，不表示缺货</x:v>
      </x:c>
      <x:c r="M50" s="8" t="str"/>
    </x:row>
    <x:row r="51" ht="50" customHeight="1">
      <x:c r="A51" s="8" t="n">
        <x:v>42</x:v>
      </x:c>
      <x:c r="B51" s="9" t="str">
        <x:v>RC0805FR-074K7L</x:v>
      </x:c>
      <x:c r="C51" s="8" t="str">
        <x:v>R303,R304,R701,R702</x:v>
      </x:c>
      <x:c r="D51" s="10" t="n">
        <x:v>4</x:v>
      </x:c>
      <x:c r="E51" s="12" t="str">
        <x:v>0805</x:v>
      </x:c>
      <x:c r="F51" s="8" t="str">
        <x:v>自营现货足一板</x:v>
      </x:c>
      <x:c r="G51" s="8" t="str">
        <x:v>立创国内自营</x:v>
      </x:c>
      <x:c r="H51" s="8" t="str">
        <x:v>https://item.szlcsc.com/61868.html</x:v>
      </x:c>
      <x:c r="I51" s="11" t="n">
        <x:v>3851700</x:v>
      </x:c>
      <x:c r="J51" s="11" t="n">
        <x:v>100</x:v>
      </x:c>
      <x:c r="K51" s="8" t="str">
        <x:v>最快4小时发货</x:v>
      </x:c>
      <x:c r="L51" s="8" t="str">
        <x:v>浏览器安全策略拦截；未核实，不表示缺货</x:v>
      </x:c>
      <x:c r="M51" s="8" t="str"/>
    </x:row>
    <x:row r="52" ht="50" customHeight="1">
      <x:c r="A52" s="8" t="n">
        <x:v>43</x:v>
      </x:c>
      <x:c r="B52" s="9" t="str">
        <x:v>RC0805FR-075K1L</x:v>
      </x:c>
      <x:c r="C52" s="8" t="str">
        <x:v>R401,R402</x:v>
      </x:c>
      <x:c r="D52" s="10" t="n">
        <x:v>2</x:v>
      </x:c>
      <x:c r="E52" s="12" t="str">
        <x:v>0805</x:v>
      </x:c>
      <x:c r="F52" s="8" t="str">
        <x:v>自营现货足一板</x:v>
      </x:c>
      <x:c r="G52" s="8" t="str">
        <x:v>立创国内自营</x:v>
      </x:c>
      <x:c r="H52" s="8" t="str">
        <x:v>https://item.szlcsc.com/85545.html</x:v>
      </x:c>
      <x:c r="I52" s="11" t="n">
        <x:v>784900</x:v>
      </x:c>
      <x:c r="J52" s="11" t="n">
        <x:v>100</x:v>
      </x:c>
      <x:c r="K52" s="8" t="str">
        <x:v>最快4小时发货</x:v>
      </x:c>
      <x:c r="L52" s="8" t="str">
        <x:v>浏览器安全策略拦截；未核实，不表示缺货</x:v>
      </x:c>
      <x:c r="M52" s="8" t="str"/>
    </x:row>
    <x:row r="53" ht="50" customHeight="1">
      <x:c r="A53" s="8" t="n">
        <x:v>44</x:v>
      </x:c>
      <x:c r="B53" s="9" t="str">
        <x:v>RC0805FR-07100KL</x:v>
      </x:c>
      <x:c r="C53" s="8" t="str">
        <x:v>R404</x:v>
      </x:c>
      <x:c r="D53" s="10" t="n">
        <x:v>1</x:v>
      </x:c>
      <x:c r="E53" s="12" t="str">
        <x:v>0805</x:v>
      </x:c>
      <x:c r="F53" s="8" t="str">
        <x:v>自营现货足一板</x:v>
      </x:c>
      <x:c r="G53" s="8" t="str">
        <x:v>立创国内自营</x:v>
      </x:c>
      <x:c r="H53" s="8" t="str">
        <x:v>https://item.szlcsc.com/97550.html</x:v>
      </x:c>
      <x:c r="I53" s="11" t="n">
        <x:v>1292100</x:v>
      </x:c>
      <x:c r="J53" s="11" t="n">
        <x:v>100</x:v>
      </x:c>
      <x:c r="K53" s="8" t="str">
        <x:v>最快4小时发货</x:v>
      </x:c>
      <x:c r="L53" s="8" t="str">
        <x:v>浏览器安全策略拦截；未核实，不表示缺货</x:v>
      </x:c>
      <x:c r="M53" s="8" t="str"/>
    </x:row>
    <x:row r="54" ht="50" customHeight="1">
      <x:c r="A54" s="8" t="n">
        <x:v>45</x:v>
      </x:c>
      <x:c r="B54" s="9" t="str">
        <x:v>RC0805JR-070RL</x:v>
      </x:c>
      <x:c r="C54" s="8" t="str">
        <x:v>R501</x:v>
      </x:c>
      <x:c r="D54" s="10" t="n">
        <x:v>1</x:v>
      </x:c>
      <x:c r="E54" s="12" t="str">
        <x:v>0805</x:v>
      </x:c>
      <x:c r="F54" s="8" t="str">
        <x:v>自营现货足一板</x:v>
      </x:c>
      <x:c r="G54" s="8" t="str">
        <x:v>立创国内自营</x:v>
      </x:c>
      <x:c r="H54" s="8" t="str">
        <x:v>https://item.szlcsc.com/97549.html</x:v>
      </x:c>
      <x:c r="I54" s="11" t="n">
        <x:v>3031300</x:v>
      </x:c>
      <x:c r="J54" s="11" t="n">
        <x:v>100</x:v>
      </x:c>
      <x:c r="K54" s="8" t="str">
        <x:v>最快4小时发货</x:v>
      </x:c>
      <x:c r="L54" s="8" t="str">
        <x:v>浏览器安全策略拦截；未核实，不表示缺货</x:v>
      </x:c>
      <x:c r="M54" s="8" t="str"/>
    </x:row>
    <x:row r="55" ht="50" customHeight="1">
      <x:c r="A55" s="8" t="n">
        <x:v>46</x:v>
      </x:c>
      <x:c r="B55" s="9" t="str">
        <x:v>RC0805FR-0747KL</x:v>
      </x:c>
      <x:c r="C55" s="8" t="str">
        <x:v>R502,R503,R504,R505,R506</x:v>
      </x:c>
      <x:c r="D55" s="10" t="n">
        <x:v>5</x:v>
      </x:c>
      <x:c r="E55" s="12" t="str">
        <x:v>0805</x:v>
      </x:c>
      <x:c r="F55" s="8" t="str">
        <x:v>自营现货足一板</x:v>
      </x:c>
      <x:c r="G55" s="8" t="str">
        <x:v>立创国内自营</x:v>
      </x:c>
      <x:c r="H55" s="8" t="str">
        <x:v>https://item.szlcsc.com/137631.html</x:v>
      </x:c>
      <x:c r="I55" s="11" t="n">
        <x:v>273600</x:v>
      </x:c>
      <x:c r="J55" s="11" t="n">
        <x:v>100</x:v>
      </x:c>
      <x:c r="K55" s="8" t="str">
        <x:v>最快4小时发货</x:v>
      </x:c>
      <x:c r="L55" s="8" t="str">
        <x:v>浏览器安全策略拦截；未核实，不表示缺货</x:v>
      </x:c>
      <x:c r="M55" s="8" t="str"/>
    </x:row>
    <x:row r="56" ht="50" customHeight="1">
      <x:c r="A56" s="8" t="n">
        <x:v>47</x:v>
      </x:c>
      <x:c r="B56" s="9" t="str">
        <x:v>RT0805BRD07150KL</x:v>
      </x:c>
      <x:c r="C56" s="8" t="str">
        <x:v>R801</x:v>
      </x:c>
      <x:c r="D56" s="10" t="n">
        <x:v>1</x:v>
      </x:c>
      <x:c r="E56" s="12" t="str">
        <x:v>0805</x:v>
      </x:c>
      <x:c r="F56" s="8" t="str">
        <x:v>自营现货足一板</x:v>
      </x:c>
      <x:c r="G56" s="8" t="str">
        <x:v>立创国内自营</x:v>
      </x:c>
      <x:c r="H56" s="8" t="str">
        <x:v>https://item.szlcsc.com/148243.html</x:v>
      </x:c>
      <x:c r="I56" s="11" t="n">
        <x:v>57270</x:v>
      </x:c>
      <x:c r="J56" s="11" t="n">
        <x:v>10</x:v>
      </x:c>
      <x:c r="K56" s="8" t="str">
        <x:v>最快4小时发货</x:v>
      </x:c>
      <x:c r="L56" s="8" t="str">
        <x:v>浏览器安全策略拦截；未核实，不表示缺货</x:v>
      </x:c>
      <x:c r="M56" s="8" t="str"/>
    </x:row>
    <x:row r="57" ht="50" customHeight="1">
      <x:c r="A57" s="8" t="n">
        <x:v>48</x:v>
      </x:c>
      <x:c r="B57" s="9" t="str">
        <x:v>RC0805FR-071M3L</x:v>
      </x:c>
      <x:c r="C57" s="8" t="str">
        <x:v>R809,R810</x:v>
      </x:c>
      <x:c r="D57" s="10" t="n">
        <x:v>2</x:v>
      </x:c>
      <x:c r="E57" s="12" t="str">
        <x:v>0805</x:v>
      </x:c>
      <x:c r="F57" s="8" t="str">
        <x:v>自营无现货</x:v>
      </x:c>
      <x:c r="G57" s="8" t="str">
        <x:v>立创国内自营</x:v>
      </x:c>
      <x:c r="H57" s="8" t="str">
        <x:v>https://item.szlcsc.com/490822.html</x:v>
      </x:c>
      <x:c r="I57" s="11" t="n">
        <x:v>0</x:v>
      </x:c>
      <x:c r="J57" s="11" t="n">
        <x:v>100</x:v>
      </x:c>
      <x:c r="K57" s="8" t="str">
        <x:v>无现货；订货交期未给出</x:v>
      </x:c>
      <x:c r="L57" s="8" t="str">
        <x:v>浏览器安全策略拦截；未核实，不表示缺货</x:v>
      </x:c>
      <x:c r="M57" s="8" t="str">
        <x:v>页面显示0现货；即使旁边有最快4小时宣传，也不记为可发货</x:v>
      </x:c>
    </x:row>
    <x:row r="58" ht="50" customHeight="1">
      <x:c r="A58" s="8" t="n">
        <x:v>49</x:v>
      </x:c>
      <x:c r="B58" s="9" t="str">
        <x:v>TPS54360BDDAR</x:v>
      </x:c>
      <x:c r="C58" s="8" t="str">
        <x:v>U101</x:v>
      </x:c>
      <x:c r="D58" s="10" t="n">
        <x:v>1</x:v>
      </x:c>
      <x:c r="E58" s="8" t="str">
        <x:v>DDA0008B HSOIC8 EP</x:v>
      </x:c>
      <x:c r="F58" s="8" t="str">
        <x:v>自营现货足一板</x:v>
      </x:c>
      <x:c r="G58" s="8" t="str">
        <x:v>立创国内自营</x:v>
      </x:c>
      <x:c r="H58" s="8" t="str">
        <x:v>https://item.szlcsc.com/542861.html</x:v>
      </x:c>
      <x:c r="I58" s="11" t="n">
        <x:v>52830</x:v>
      </x:c>
      <x:c r="J58" s="11" t="n">
        <x:v>1</x:v>
      </x:c>
      <x:c r="K58" s="8" t="str">
        <x:v>最快4小时发货</x:v>
      </x:c>
      <x:c r="L58" s="8" t="str">
        <x:v>浏览器安全策略拦截；未核实，不表示缺货</x:v>
      </x:c>
      <x:c r="M58" s="8" t="str"/>
    </x:row>
    <x:row r="59" ht="50" customHeight="1">
      <x:c r="A59" s="8" t="n">
        <x:v>50</x:v>
      </x:c>
      <x:c r="B59" s="9" t="str">
        <x:v>AP63203WU-7</x:v>
      </x:c>
      <x:c r="C59" s="8" t="str">
        <x:v>U102</x:v>
      </x:c>
      <x:c r="D59" s="10" t="n">
        <x:v>1</x:v>
      </x:c>
      <x:c r="E59" s="8" t="str">
        <x:v>TSOT26</x:v>
      </x:c>
      <x:c r="F59" s="8" t="str">
        <x:v>原型号代购可下单</x:v>
      </x:c>
      <x:c r="G59" s="8" t="str">
        <x:v>立创海外代购/Mouser</x:v>
      </x:c>
      <x:c r="H59" s="8" t="str">
        <x:v>https://item.szlcsc.com/details/Mouser/621-AP63203WU-7.html</x:v>
      </x:c>
      <x:c r="I59" s="11" t="n">
        <x:v>4207</x:v>
      </x:c>
      <x:c r="J59" s="11" t="n">
        <x:v>23</x:v>
      </x:c>
      <x:c r="K59" s="8" t="str">
        <x:v>10-20个工作日</x:v>
      </x:c>
      <x:c r="L59" s="8" t="str">
        <x:v>浏览器安全策略拦截；未核实，不表示缺货</x:v>
      </x:c>
      <x:c r="M59" s="8" t="str">
        <x:v>国内自营0现货；该代购页MOQ为23，不是价格表1+就能买1颗</x:v>
      </x:c>
    </x:row>
    <x:row r="60" ht="50" customHeight="1">
      <x:c r="A60" s="8" t="n">
        <x:v>51</x:v>
      </x:c>
      <x:c r="B60" s="9" t="str">
        <x:v>TPS7A2033PDBVR</x:v>
      </x:c>
      <x:c r="C60" s="8" t="str">
        <x:v>U103</x:v>
      </x:c>
      <x:c r="D60" s="10" t="n">
        <x:v>1</x:v>
      </x:c>
      <x:c r="E60" s="8" t="str">
        <x:v>DBV5 SOT23-5</x:v>
      </x:c>
      <x:c r="F60" s="8" t="str">
        <x:v>自营现货足一板</x:v>
      </x:c>
      <x:c r="G60" s="8" t="str">
        <x:v>立创国内自营</x:v>
      </x:c>
      <x:c r="H60" s="8" t="str">
        <x:v>https://item.szlcsc.com/3067417.html</x:v>
      </x:c>
      <x:c r="I60" s="11" t="n">
        <x:v>125435</x:v>
      </x:c>
      <x:c r="J60" s="11" t="n">
        <x:v>5</x:v>
      </x:c>
      <x:c r="K60" s="8" t="str">
        <x:v>最快4小时发货</x:v>
      </x:c>
      <x:c r="L60" s="8" t="str">
        <x:v>浏览器安全策略拦截；未核实，不表示缺货</x:v>
      </x:c>
      <x:c r="M60" s="8" t="str"/>
    </x:row>
    <x:row r="61" ht="50" customHeight="1">
      <x:c r="A61" s="8" t="n">
        <x:v>52</x:v>
      </x:c>
      <x:c r="B61" s="9" t="str">
        <x:v>TPS2553DBVR</x:v>
      </x:c>
      <x:c r="C61" s="8" t="str">
        <x:v>U104,U106</x:v>
      </x:c>
      <x:c r="D61" s="10" t="n">
        <x:v>2</x:v>
      </x:c>
      <x:c r="E61" s="8" t="str">
        <x:v>DBV6 SOT23-6</x:v>
      </x:c>
      <x:c r="F61" s="8" t="str">
        <x:v>自营现货足一板</x:v>
      </x:c>
      <x:c r="G61" s="8" t="str">
        <x:v>立创国内自营</x:v>
      </x:c>
      <x:c r="H61" s="8" t="str">
        <x:v>https://item.szlcsc.com/56292.html</x:v>
      </x:c>
      <x:c r="I61" s="11" t="n">
        <x:v>43671</x:v>
      </x:c>
      <x:c r="J61" s="11" t="n">
        <x:v>1</x:v>
      </x:c>
      <x:c r="K61" s="8" t="str">
        <x:v>最快4小时发货</x:v>
      </x:c>
      <x:c r="L61" s="8" t="str">
        <x:v>浏览器安全策略拦截；未核实，不表示缺货</x:v>
      </x:c>
      <x:c r="M61" s="8" t="str">
        <x:v>源工程候选字段涉及：U106；本轮不改字段或型号</x:v>
      </x:c>
    </x:row>
    <x:row r="62" ht="50" customHeight="1">
      <x:c r="A62" s="8" t="n">
        <x:v>53</x:v>
      </x:c>
      <x:c r="B62" s="9" t="str">
        <x:v>TPS2116DRLR</x:v>
      </x:c>
      <x:c r="C62" s="8" t="str">
        <x:v>U105</x:v>
      </x:c>
      <x:c r="D62" s="10" t="n">
        <x:v>1</x:v>
      </x:c>
      <x:c r="E62" s="8" t="str">
        <x:v>SOT-583-8</x:v>
      </x:c>
      <x:c r="F62" s="8" t="str">
        <x:v>自营现货足一板</x:v>
      </x:c>
      <x:c r="G62" s="8" t="str">
        <x:v>立创国内自营</x:v>
      </x:c>
      <x:c r="H62" s="8" t="str">
        <x:v>https://item.szlcsc.com/3798578.html</x:v>
      </x:c>
      <x:c r="I62" s="11" t="n">
        <x:v>49894</x:v>
      </x:c>
      <x:c r="J62" s="11" t="n">
        <x:v>1</x:v>
      </x:c>
      <x:c r="K62" s="8" t="str">
        <x:v>3个工作日</x:v>
      </x:c>
      <x:c r="L62" s="8" t="str">
        <x:v>浏览器安全策略拦截；未核实，不表示缺货</x:v>
      </x:c>
      <x:c r="M62" s="8" t="str">
        <x:v>源工程候选字段涉及：U105；本轮不改字段或型号</x:v>
      </x:c>
    </x:row>
    <x:row r="63" ht="50" customHeight="1">
      <x:c r="A63" s="8" t="n">
        <x:v>54</x:v>
      </x:c>
      <x:c r="B63" s="9" t="str">
        <x:v>STM32H743VIT6</x:v>
      </x:c>
      <x:c r="C63" s="8" t="str">
        <x:v>U201</x:v>
      </x:c>
      <x:c r="D63" s="10" t="n">
        <x:v>1</x:v>
      </x:c>
      <x:c r="E63" s="8" t="str">
        <x:v>LQFP100 14x14 P0.5</x:v>
      </x:c>
      <x:c r="F63" s="8" t="str">
        <x:v>自营现货足一板</x:v>
      </x:c>
      <x:c r="G63" s="8" t="str">
        <x:v>立创国内自营</x:v>
      </x:c>
      <x:c r="H63" s="8" t="str">
        <x:v>https://item.szlcsc.com/115649.html</x:v>
      </x:c>
      <x:c r="I63" s="11" t="n">
        <x:v>7626</x:v>
      </x:c>
      <x:c r="J63" s="11" t="n">
        <x:v>1</x:v>
      </x:c>
      <x:c r="K63" s="8" t="str">
        <x:v>最快4小时发货</x:v>
      </x:c>
      <x:c r="L63" s="8" t="str">
        <x:v>浏览器安全策略拦截；未核实，不表示缺货</x:v>
      </x:c>
      <x:c r="M63" s="8" t="str">
        <x:v>网页完整MPN有货，但没有保证项目所需硅修订版V；交货承诺/来料标记仍需核对</x:v>
      </x:c>
    </x:row>
    <x:row r="64" ht="50" customHeight="1">
      <x:c r="A64" s="8" t="n">
        <x:v>55</x:v>
      </x:c>
      <x:c r="B64" s="9" t="str">
        <x:v>BMI088</x:v>
      </x:c>
      <x:c r="C64" s="8" t="str">
        <x:v>U301</x:v>
      </x:c>
      <x:c r="D64" s="10" t="n">
        <x:v>1</x:v>
      </x:c>
      <x:c r="E64" s="8" t="str">
        <x:v>LGA16 3x4.5</x:v>
      </x:c>
      <x:c r="F64" s="8" t="str">
        <x:v>自营现货足一板</x:v>
      </x:c>
      <x:c r="G64" s="8" t="str">
        <x:v>立创国内自营</x:v>
      </x:c>
      <x:c r="H64" s="8" t="str">
        <x:v>https://item.szlcsc.com/239391.html</x:v>
      </x:c>
      <x:c r="I64" s="11" t="n">
        <x:v>8948</x:v>
      </x:c>
      <x:c r="J64" s="11" t="n">
        <x:v>1</x:v>
      </x:c>
      <x:c r="K64" s="8" t="str">
        <x:v>最快4小时发货</x:v>
      </x:c>
      <x:c r="L64" s="8" t="str">
        <x:v>浏览器安全策略拦截；未核实，不表示缺货</x:v>
      </x:c>
      <x:c r="M64" s="8" t="str"/>
    </x:row>
    <x:row r="65" ht="50" customHeight="1">
      <x:c r="A65" s="8" t="n">
        <x:v>56</x:v>
      </x:c>
      <x:c r="B65" s="9" t="str">
        <x:v>SPL06-001</x:v>
      </x:c>
      <x:c r="C65" s="8" t="str">
        <x:v>U302</x:v>
      </x:c>
      <x:c r="D65" s="10" t="n">
        <x:v>1</x:v>
      </x:c>
      <x:c r="E65" s="8" t="str">
        <x:v>LGA8 2x2.5</x:v>
      </x:c>
      <x:c r="F65" s="8" t="str">
        <x:v>淘宝用户确认有售；详情未核</x:v>
      </x:c>
      <x:c r="G65" s="8" t="str">
        <x:v>立创国内自营</x:v>
      </x:c>
      <x:c r="H65" s="8" t="str">
        <x:v>https://item.szlcsc.com/2782076.html</x:v>
      </x:c>
      <x:c r="I65" s="11" t="str">
        <x:v>未显示</x:v>
      </x:c>
      <x:c r="J65" s="11" t="str">
        <x:v>未核/停售</x:v>
      </x:c>
      <x:c r="K65" s="8" t="str">
        <x:v>停售；淘宝交期未核</x:v>
      </x:c>
      <x:c r="L65" s="8" t="str">
        <x:v>用户确认淘宝有售；我方未读取商品详情</x:v>
      </x:c>
      <x:c r="M65" s="8" t="str">
        <x:v>立创当前SKU已停售；负责人已确认淘宝有售；具体商品链接、MOQ和交期未独立核实，保留原型号</x:v>
      </x:c>
    </x:row>
    <x:row r="66" ht="50" customHeight="1">
      <x:c r="A66" s="8" t="n">
        <x:v>57</x:v>
      </x:c>
      <x:c r="B66" s="9" t="str">
        <x:v>TPD4E1U06DBVR</x:v>
      </x:c>
      <x:c r="C66" s="8" t="str">
        <x:v>U401</x:v>
      </x:c>
      <x:c r="D66" s="10" t="n">
        <x:v>1</x:v>
      </x:c>
      <x:c r="E66" s="8" t="str">
        <x:v>DBV SOT-23-6</x:v>
      </x:c>
      <x:c r="F66" s="8" t="str">
        <x:v>自营现货足一板</x:v>
      </x:c>
      <x:c r="G66" s="8" t="str">
        <x:v>立创国内自营</x:v>
      </x:c>
      <x:c r="H66" s="8" t="str">
        <x:v>https://item.szlcsc.com/125968.html</x:v>
      </x:c>
      <x:c r="I66" s="11" t="n">
        <x:v>20570</x:v>
      </x:c>
      <x:c r="J66" s="11" t="n">
        <x:v>5</x:v>
      </x:c>
      <x:c r="K66" s="8" t="str">
        <x:v>最快4小时发货</x:v>
      </x:c>
      <x:c r="L66" s="8" t="str">
        <x:v>浏览器安全策略拦截；未核实，不表示缺货</x:v>
      </x:c>
      <x:c r="M66" s="8" t="str"/>
    </x:row>
    <x:row r="67" ht="50" customHeight="1">
      <x:c r="A67" s="8" t="n">
        <x:v>58</x:v>
      </x:c>
      <x:c r="B67" s="9" t="str">
        <x:v>SN74LVC1G17DBVR</x:v>
      </x:c>
      <x:c r="C67" s="8" t="str">
        <x:v>U402</x:v>
      </x:c>
      <x:c r="D67" s="10" t="n">
        <x:v>1</x:v>
      </x:c>
      <x:c r="E67" s="8" t="str">
        <x:v>DBV5 SOT23-5</x:v>
      </x:c>
      <x:c r="F67" s="8" t="str">
        <x:v>自营现货足一板</x:v>
      </x:c>
      <x:c r="G67" s="8" t="str">
        <x:v>立创国内自营</x:v>
      </x:c>
      <x:c r="H67" s="8" t="str">
        <x:v>https://item.szlcsc.com/8313.html</x:v>
      </x:c>
      <x:c r="I67" s="11" t="n">
        <x:v>17625</x:v>
      </x:c>
      <x:c r="J67" s="11" t="n">
        <x:v>5</x:v>
      </x:c>
      <x:c r="K67" s="8" t="str">
        <x:v>最快4小时发货</x:v>
      </x:c>
      <x:c r="L67" s="8" t="str">
        <x:v>浏览器安全策略拦截；未核实，不表示缺货</x:v>
      </x:c>
      <x:c r="M67" s="8" t="str"/>
    </x:row>
    <x:row r="68" ht="50" customHeight="1">
      <x:c r="A68" s="8" t="n">
        <x:v>59</x:v>
      </x:c>
      <x:c r="B68" s="9" t="str">
        <x:v>TPD2E2U06QDBZRQ1</x:v>
      </x:c>
      <x:c r="C68" s="8" t="str">
        <x:v>U403</x:v>
      </x:c>
      <x:c r="D68" s="10" t="n">
        <x:v>1</x:v>
      </x:c>
      <x:c r="E68" s="8" t="str">
        <x:v>DBZ / SOT-23-3</x:v>
      </x:c>
      <x:c r="F68" s="8" t="str">
        <x:v>自营现货足一板</x:v>
      </x:c>
      <x:c r="G68" s="8" t="str">
        <x:v>立创国内自营</x:v>
      </x:c>
      <x:c r="H68" s="8" t="str">
        <x:v>https://item.szlcsc.com/497721.html</x:v>
      </x:c>
      <x:c r="I68" s="11" t="n">
        <x:v>1815</x:v>
      </x:c>
      <x:c r="J68" s="11" t="n">
        <x:v>5</x:v>
      </x:c>
      <x:c r="K68" s="8" t="str">
        <x:v>最快4小时发货</x:v>
      </x:c>
      <x:c r="L68" s="8" t="str">
        <x:v>浏览器安全策略拦截；未核实，不表示缺货</x:v>
      </x:c>
      <x:c r="M68" s="8" t="str"/>
    </x:row>
    <x:row r="69" ht="50" customHeight="1">
      <x:c r="A69" s="8" t="n">
        <x:v>60</x:v>
      </x:c>
      <x:c r="B69" s="9" t="str">
        <x:v>TCAN3414DR</x:v>
      </x:c>
      <x:c r="C69" s="8" t="str">
        <x:v>U601</x:v>
      </x:c>
      <x:c r="D69" s="10" t="n">
        <x:v>1</x:v>
      </x:c>
      <x:c r="E69" s="8" t="str">
        <x:v>TI D0008A SOIC-8</x:v>
      </x:c>
      <x:c r="F69" s="8" t="str">
        <x:v>自营现货足一板</x:v>
      </x:c>
      <x:c r="G69" s="8" t="str">
        <x:v>立创国内自营</x:v>
      </x:c>
      <x:c r="H69" s="8" t="str">
        <x:v>https://item.szlcsc.com/24002530.html</x:v>
      </x:c>
      <x:c r="I69" s="11" t="n">
        <x:v>729</x:v>
      </x:c>
      <x:c r="J69" s="11" t="n">
        <x:v>1</x:v>
      </x:c>
      <x:c r="K69" s="8" t="str">
        <x:v>最快4小时发货</x:v>
      </x:c>
      <x:c r="L69" s="8" t="str">
        <x:v>用户确认淘宝有售；我方未读取商品详情</x:v>
      </x:c>
      <x:c r="M69" s="8" t="str">
        <x:v>已复核完整列表第二条：C22396693、SOIC-8；不是TCAN3414DRBR的SON封装</x:v>
      </x:c>
    </x:row>
    <x:row r="70" ht="50" customHeight="1">
      <x:c r="A70" s="8" t="n">
        <x:v>61</x:v>
      </x:c>
      <x:c r="B70" s="9" t="str">
        <x:v>TMUX1511PWR</x:v>
      </x:c>
      <x:c r="C70" s="8" t="str">
        <x:v>U801</x:v>
      </x:c>
      <x:c r="D70" s="10" t="n">
        <x:v>1</x:v>
      </x:c>
      <x:c r="E70" s="8" t="str">
        <x:v>PW14 TSSOP14 0.65mm visible leads</x:v>
      </x:c>
      <x:c r="F70" s="8" t="str">
        <x:v>自营现货足一板</x:v>
      </x:c>
      <x:c r="G70" s="8" t="str">
        <x:v>立创国内自营</x:v>
      </x:c>
      <x:c r="H70" s="8" t="str">
        <x:v>https://item.szlcsc.com/3071427.html</x:v>
      </x:c>
      <x:c r="I70" s="11" t="n">
        <x:v>696</x:v>
      </x:c>
      <x:c r="J70" s="11" t="n">
        <x:v>1</x:v>
      </x:c>
      <x:c r="K70" s="8" t="str">
        <x:v>最快4小时发货</x:v>
      </x:c>
      <x:c r="L70" s="8" t="str">
        <x:v>浏览器安全策略拦截；未核实，不表示缺货</x:v>
      </x:c>
      <x:c r="M70" s="8" t="str"/>
    </x:row>
    <x:row r="71" ht="50" customHeight="1">
      <x:c r="A71" s="8" t="n">
        <x:v>62</x:v>
      </x:c>
      <x:c r="B71" s="9" t="str">
        <x:v>XJHCELNANF-8M</x:v>
      </x:c>
      <x:c r="C71" s="8" t="str">
        <x:v>Y201</x:v>
      </x:c>
      <x:c r="D71" s="10" t="n">
        <x:v>1</x:v>
      </x:c>
      <x:c r="E71" s="8" t="str">
        <x:v>HC49-class 2SMD 12.5x4.5x4</x:v>
      </x:c>
      <x:c r="F71" s="8" t="str">
        <x:v>自营无现货</x:v>
      </x:c>
      <x:c r="G71" s="8" t="str">
        <x:v>立创国内自营</x:v>
      </x:c>
      <x:c r="H71" s="8" t="str">
        <x:v>https://item.szlcsc.com/124568.html</x:v>
      </x:c>
      <x:c r="I71" s="11" t="n">
        <x:v>0</x:v>
      </x:c>
      <x:c r="J71" s="11" t="n">
        <x:v>5</x:v>
      </x:c>
      <x:c r="K71" s="8" t="str">
        <x:v>无现货；订货交期未给出</x:v>
      </x:c>
      <x:c r="L71" s="8" t="str">
        <x:v>浏览器安全策略拦截；未核实，不表示缺货</x:v>
      </x:c>
      <x:c r="M71" s="8" t="str">
        <x:v>页面显示0现货；即使旁边有最快4小时宣传，也不记为可发货</x:v>
      </x:c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</x:sheetData>
  <x:conditionalFormatting sqref="F10:F71">
    <x:cfRule type="containsText" dxfId="0" priority="1" operator="containsText" text="无现货"/>
    <x:cfRule type="containsText" dxfId="1" priority="2" operator="containsText" text="不足"/>
    <x:cfRule type="containsText" dxfId="2" priority="3" operator="containsText" text="用户确认"/>
  </x:conditionalFormatting>
  <x:pageMargins left="0.7" right="0.7" top="0.75" bottom="0.75" header="0.3" footer="0.3"/>
  <x:tableParts count="1">
    <x:tablePart xmlns:r="http://schemas.openxmlformats.org/officeDocument/2006/relationships" r:id="R16216ab71bae47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4" hidden="0" customWidth="1"/>
    <x:col min="4" max="4" width="67" hidden="0" customWidth="1"/>
    <x:col min="5" max="5" width="28" hidden="0" customWidth="1"/>
    <x:col min="6" max="6" width="64" hidden="0" customWidth="1"/>
    <x:col min="7" max="7" width="14" hidden="0" customWidth="1"/>
    <x:col min="8" max="8" width="12" hidden="0" customWidth="1"/>
    <x:col min="9" max="9" width="12" hidden="0" customWidth="1"/>
    <x:col min="10" max="10" width="24" hidden="0" customWidth="1"/>
    <x:col min="11" max="11" width="80" hidden="0" customWidth="1"/>
    <x:col min="12" max="12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同封装替代候选：未采用、未改工程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5个立创供货缺口对应100nF电容、R105、R107、R809/R810及Y201；不是强制换料，原型若能落实仍可保留。另含240pF及APQ备选。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7" t="str">
        <x:v>原MPN</x:v>
      </x:c>
      <x:c r="B6" s="7" t="str">
        <x:v>位号</x:v>
      </x:c>
      <x:c r="C6" s="7" t="str">
        <x:v>候选MPN</x:v>
      </x:c>
      <x:c r="D6" s="7" t="str">
        <x:v>已核匹配项目</x:v>
      </x:c>
      <x:c r="E6" s="7" t="str">
        <x:v>使用建议</x:v>
      </x:c>
      <x:c r="F6" s="7" t="str">
        <x:v>候选商品页</x:v>
      </x:c>
      <x:c r="G6" s="7" t="str">
        <x:v>页面库存</x:v>
      </x:c>
      <x:c r="H6" s="7" t="str">
        <x:v>库存类型</x:v>
      </x:c>
      <x:c r="I6" s="7" t="str">
        <x:v>MOQ</x:v>
      </x:c>
      <x:c r="J6" s="7" t="str">
        <x:v>页面交期</x:v>
      </x:c>
      <x:c r="K6" s="7" t="str">
        <x:v>差异及待核事项</x:v>
      </x:c>
      <x:c r="L6" s="7" t="str">
        <x:v>已写入工程</x:v>
      </x:c>
    </x:row>
    <x:row r="7" ht="96" customHeight="1">
      <x:c r="A7" s="8" t="str">
        <x:v>C0603C104K5RACTU</x:v>
      </x:c>
      <x:c r="B7" s="8" t="str">
        <x:v>C106,C107,C112,C117,C203,C204,C205,C206,C207,C210,C211,C301,C302,C303,C304,C402,C501,C601,C805</x:v>
      </x:c>
      <x:c r="C7" s="8" t="str">
        <x:v>CL10B104KB8NNNC</x:v>
      </x:c>
      <x:c r="D7" s="8" t="str">
        <x:v>同0603、100nF、±10%、50V、X7R</x:v>
      </x:c>
      <x:c r="E7" s="8" t="str">
        <x:v>国内现货候选</x:v>
      </x:c>
      <x:c r="F7" s="8" t="str">
        <x:v>https://item.szlcsc.com/1943.html</x:v>
      </x:c>
      <x:c r="G7" s="11" t="n">
        <x:v>1901800</x:v>
      </x:c>
      <x:c r="H7" s="11" t="str">
        <x:v>现货</x:v>
      </x:c>
      <x:c r="I7" s="11" t="n">
        <x:v>100</x:v>
      </x:c>
      <x:c r="J7" s="8" t="str">
        <x:v>最快4小时发货</x:v>
      </x:c>
      <x:c r="K7" s="8" t="str">
        <x:v>原19个位号；直流偏压/温度后的有效容值与所在支路要求仍按原设计复核</x:v>
      </x:c>
      <x:c r="L7" s="8" t="str">
        <x:v>否</x:v>
      </x:c>
    </x:row>
    <x:row r="8" ht="96" customHeight="1">
      <x:c r="A8" s="8" t="str">
        <x:v>C0805C241J5GACTU</x:v>
      </x:c>
      <x:c r="B8" s="8" t="str">
        <x:v>C110</x:v>
      </x:c>
      <x:c r="C8" s="8" t="str">
        <x:v>CC0805JRNPO9BN241</x:v>
      </x:c>
      <x:c r="D8" s="8" t="str">
        <x:v>同0805、240pF、±5%、50V、NP0/C0G</x:v>
      </x:c>
      <x:c r="E8" s="8" t="str">
        <x:v>可选国内候选</x:v>
      </x:c>
      <x:c r="F8" s="8" t="str">
        <x:v>https://item.szlcsc.com/536696.html</x:v>
      </x:c>
      <x:c r="G8" s="11" t="n">
        <x:v>11500</x:v>
      </x:c>
      <x:c r="H8" s="11" t="str">
        <x:v>现货</x:v>
      </x:c>
      <x:c r="I8" s="11" t="n">
        <x:v>50</x:v>
      </x:c>
      <x:c r="J8" s="8" t="str">
        <x:v>最快4小时发货</x:v>
      </x:c>
      <x:c r="K8" s="8" t="str">
        <x:v>原型号也有DigiKey代购；此项仅作较快国内备选，不自动换补偿件</x:v>
      </x:c>
      <x:c r="L8" s="8" t="str">
        <x:v>否</x:v>
      </x:c>
    </x:row>
    <x:row r="9" ht="96" customHeight="1">
      <x:c r="A9" s="8" t="str">
        <x:v>RT0805BRD0753K6L</x:v>
      </x:c>
      <x:c r="B9" s="8" t="str">
        <x:v>R105</x:v>
      </x:c>
      <x:c r="C9" s="8" t="str">
        <x:v>ERA-6AEB5362V</x:v>
      </x:c>
      <x:c r="D9" s="8" t="str">
        <x:v>同0805、53.6kΩ、±0.1%、125mW、±25ppm/℃</x:v>
      </x:c>
      <x:c r="E9" s="8" t="str">
        <x:v>代购候选</x:v>
      </x:c>
      <x:c r="F9" s="8" t="str">
        <x:v>https://item.szlcsc.com/details/Digikey/P53.6KDACT-ND.html</x:v>
      </x:c>
      <x:c r="G9" s="11" t="n">
        <x:v>17290</x:v>
      </x:c>
      <x:c r="H9" s="11" t="str">
        <x:v>库存</x:v>
      </x:c>
      <x:c r="I9" s="11" t="n">
        <x:v>1</x:v>
      </x:c>
      <x:c r="J9" s="8" t="str">
        <x:v>8-14个工作日</x:v>
      </x:c>
      <x:c r="K9" s="8" t="str">
        <x:v>保持R105阻值与精度；Panasonic ERA6A原厂表核对机械与电压额定，未改原工程</x:v>
      </x:c>
      <x:c r="L9" s="8" t="str">
        <x:v>否</x:v>
      </x:c>
    </x:row>
    <x:row r="10" ht="96" customHeight="1">
      <x:c r="A10" s="8" t="str">
        <x:v>RC0805FR-0718K7L</x:v>
      </x:c>
      <x:c r="B10" s="8" t="str">
        <x:v>R107</x:v>
      </x:c>
      <x:c r="C10" s="8" t="str">
        <x:v>0805W8F1872T5E</x:v>
      </x:c>
      <x:c r="D10" s="8" t="str">
        <x:v>同0805、18.7kΩ、±1%、125mW；150V、±100ppm/℃</x:v>
      </x:c>
      <x:c r="E10" s="8" t="str">
        <x:v>国内现货候选</x:v>
      </x:c>
      <x:c r="F10" s="8" t="str">
        <x:v>https://item.szlcsc.com/18187.html</x:v>
      </x:c>
      <x:c r="G10" s="11" t="n">
        <x:v>19800</x:v>
      </x:c>
      <x:c r="H10" s="11" t="str">
        <x:v>现货</x:v>
      </x:c>
      <x:c r="I10" s="11" t="n">
        <x:v>100</x:v>
      </x:c>
      <x:c r="J10" s="8" t="str">
        <x:v>最快4小时发货</x:v>
      </x:c>
      <x:c r="K10" s="8" t="str">
        <x:v>R107为补偿器件，阻值不变；不得擅自以18k或20k代替</x:v>
      </x:c>
      <x:c r="L10" s="8" t="str">
        <x:v>否</x:v>
      </x:c>
    </x:row>
    <x:row r="11" ht="96" customHeight="1">
      <x:c r="A11" s="8" t="str">
        <x:v>RC0805FR-071M3L</x:v>
      </x:c>
      <x:c r="B11" s="8" t="str">
        <x:v>R809,R810</x:v>
      </x:c>
      <x:c r="C11" s="8" t="str">
        <x:v>0805W8F1304T5E</x:v>
      </x:c>
      <x:c r="D11" s="8" t="str">
        <x:v>同0805、1.3MΩ、±1%、125mW；150V、±100ppm/℃</x:v>
      </x:c>
      <x:c r="E11" s="8" t="str">
        <x:v>国内现货候选</x:v>
      </x:c>
      <x:c r="F11" s="8" t="str">
        <x:v>https://item.szlcsc.com/26852.html</x:v>
      </x:c>
      <x:c r="G11" s="11" t="n">
        <x:v>500</x:v>
      </x:c>
      <x:c r="H11" s="11" t="str">
        <x:v>现货</x:v>
      </x:c>
      <x:c r="I11" s="11" t="n">
        <x:v>100</x:v>
      </x:c>
      <x:c r="J11" s="8" t="str">
        <x:v>最快4小时发货</x:v>
      </x:c>
      <x:c r="K11" s="8" t="str">
        <x:v>对应R809/R810；高阻支路的漏电/噪声要求仍保留</x:v>
      </x:c>
      <x:c r="L11" s="8" t="str">
        <x:v>否</x:v>
      </x:c>
    </x:row>
    <x:row r="12" ht="96" customHeight="1">
      <x:c r="A12" s="8" t="str">
        <x:v>XJHCELNANF-8M</x:v>
      </x:c>
      <x:c r="B12" s="8" t="str">
        <x:v>Y201</x:v>
      </x:c>
      <x:c r="C12" s="8" t="str">
        <x:v>XJHCCLNANF-8.000000MHZ</x:v>
      </x:c>
      <x:c r="D12" s="8" t="str">
        <x:v>同TAITIEN XJ/HC-49S-SMD、8MHz、CL20pF、-40～85℃，初始/稳定度±20ppm</x:v>
      </x:c>
      <x:c r="E12" s="8" t="str">
        <x:v>同系列现货候选</x:v>
      </x:c>
      <x:c r="F12" s="8" t="str">
        <x:v>https://item.szlcsc.com/539042.html</x:v>
      </x:c>
      <x:c r="G12" s="11" t="n">
        <x:v>740</x:v>
      </x:c>
      <x:c r="H12" s="11" t="str">
        <x:v>现货</x:v>
      </x:c>
      <x:c r="I12" s="11" t="n">
        <x:v>5</x:v>
      </x:c>
      <x:c r="J12" s="8" t="str">
        <x:v>最快4小时发货</x:v>
      </x:c>
      <x:c r="K12" s="8" t="str">
        <x:v>原为±30ppm；温区不缩小。同系列机械初筛，ESR/驱动功率与启动裕量仍按原厂资料复核；未改晶振或负载电容</x:v>
      </x:c>
      <x:c r="L12" s="8" t="str">
        <x:v>否</x:v>
      </x:c>
    </x:row>
    <x:row r="13" ht="96" customHeight="1">
      <x:c r="A13" s="8" t="str">
        <x:v>AP63203WU-7</x:v>
      </x:c>
      <x:c r="B13" s="8" t="str">
        <x:v>U102</x:v>
      </x:c>
      <x:c r="C13" s="8" t="str">
        <x:v>AP63203QWU-7</x:v>
      </x:c>
      <x:c r="D13" s="8" t="str">
        <x:v>同TSOT26、固定3.3V、2A、1.1MHz、VIN3.8～32V</x:v>
      </x:c>
      <x:c r="E13" s="8" t="str">
        <x:v>备用但不适合小量</x:v>
      </x:c>
      <x:c r="F13" s="8" t="str">
        <x:v>https://item.szlcsc.com/5961413.html</x:v>
      </x:c>
      <x:c r="G13" s="11" t="n">
        <x:v>3000</x:v>
      </x:c>
      <x:c r="H13" s="11" t="str">
        <x:v>库存</x:v>
      </x:c>
      <x:c r="I13" s="11" t="n">
        <x:v>3000</x:v>
      </x:c>
      <x:c r="J13" s="8" t="str">
        <x:v>31-33个工作日</x:v>
      </x:c>
      <x:c r="K13" s="8" t="str">
        <x:v>汽车级备选，不能以型号相近就认定已逐脚验收；立创该条目MOQ3000、交期31–33工作日，不推荐首板为此采购整盘；优先原AP63203代购</x:v>
      </x:c>
      <x:c r="L13" s="8" t="str">
        <x:v>否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13" t="str">
        <x:v>未混入候选的近似件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32" customHeight="1">
      <x:c r="A18" s="7" t="str">
        <x:v>型号</x:v>
      </x:c>
      <x:c r="B18" s="7" t="str">
        <x:v>原因</x:v>
      </x:c>
      <x:c r="C18" s="7" t="str">
        <x:v>结论</x:v>
      </x:c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45" customHeight="1">
      <x:c r="A19" s="8" t="str">
        <x:v>AR02BTC5362</x:v>
      </x:c>
      <x:c r="B19" s="8" t="str">
        <x:v>0402，不是R105所需0805</x:v>
      </x:c>
      <x:c r="C19" s="8" t="str">
        <x:v>排除</x:v>
      </x:c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45" customHeight="1">
      <x:c r="A20" s="8" t="str">
        <x:v>XJHBBCNANF-8.000000MHZ</x:v>
      </x:c>
      <x:c r="B20" s="8" t="str">
        <x:v>温区-20～70℃，缩小于原-40～85℃</x:v>
      </x:c>
      <x:c r="C20" s="8" t="str">
        <x:v>不推荐等效替代</x:v>
      </x:c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45" customHeight="1">
      <x:c r="A21" s="8" t="str">
        <x:v>AP63205WU-7</x:v>
      </x:c>
      <x:c r="B21" s="8" t="str">
        <x:v>固定5V，不是AP63203的3.3V</x:v>
      </x:c>
      <x:c r="C21" s="8" t="str">
        <x:v>排除</x:v>
      </x:c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45" customHeight="1">
      <x:c r="A22" s="8" t="str">
        <x:v>SPA06-003</x:v>
      </x:c>
      <x:c r="B22" s="8" t="str">
        <x:v>不是SPL06-001；未据此更换冻结气压计或承诺驱动相同</x:v>
      </x:c>
      <x:c r="C22" s="8" t="str">
        <x:v>保持原型</x:v>
      </x:c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 t="str">
        <x:v>本页所有替代均仅为候选。原AP63203有MOQ23的代购通道，优先保留原型，APQ的MOQ3000不适合首板。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 t="str">
        <x:v>资料：各行实际商品页；R105另核Panasonic ERA A原厂规格。晶振同系列同温区初筛；ESR/驱动/启动等仍沿用原设计要求。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</x:sheetData>
  <x:pageMargins left="0.7" right="0.7" top="0.75" bottom="0.75" header="0.3" footer="0.3"/>
  <x:tableParts count="1">
    <x:tablePart xmlns:r="http://schemas.openxmlformats.org/officeDocument/2006/relationships" r:id="Ra016893ac82c4baa"/>
  </x:tableParts>
</x:worksheet>
</file>